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jordanrichter/Projects/Clients/Best Bottles/"/>
    </mc:Choice>
  </mc:AlternateContent>
  <xr:revisionPtr revIDLastSave="0" documentId="13_ncr:1_{CEDB8EC3-16E5-C34C-89ED-83991CE6B33E}" xr6:coauthVersionLast="47" xr6:coauthVersionMax="47" xr10:uidLastSave="{00000000-0000-0000-0000-000000000000}"/>
  <bookViews>
    <workbookView xWindow="0" yWindow="760" windowWidth="34560" windowHeight="20400" xr2:uid="{00000000-000D-0000-FFFF-FFFF00000000}"/>
  </bookViews>
  <sheets>
    <sheet name="Products" sheetId="1" r:id="rId1"/>
    <sheet name="Pricing_Detai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2" l="1"/>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alcChain>
</file>

<file path=xl/sharedStrings.xml><?xml version="1.0" encoding="utf-8"?>
<sst xmlns="http://schemas.openxmlformats.org/spreadsheetml/2006/main" count="198" uniqueCount="100">
  <si>
    <t>SKU</t>
  </si>
  <si>
    <t>Product_Name</t>
  </si>
  <si>
    <t>Description</t>
  </si>
  <si>
    <t>Category</t>
  </si>
  <si>
    <t>Website_Collection</t>
  </si>
  <si>
    <t>Capacity_ml</t>
  </si>
  <si>
    <t>Capacity_oz</t>
  </si>
  <si>
    <t>Height_With_Cap_mm</t>
  </si>
  <si>
    <t>Height_Without_Cap_mm</t>
  </si>
  <si>
    <t>Diameter_mm</t>
  </si>
  <si>
    <t>Width_mm</t>
  </si>
  <si>
    <t>Depth_mm</t>
  </si>
  <si>
    <t>Neck_Thread_Size</t>
  </si>
  <si>
    <t>Material</t>
  </si>
  <si>
    <t>Glass_Color</t>
  </si>
  <si>
    <t>Shape</t>
  </si>
  <si>
    <t>Fitment_Type</t>
  </si>
  <si>
    <t>Cap_Color</t>
  </si>
  <si>
    <t>Cap_Finish</t>
  </si>
  <si>
    <t>Price_1pc</t>
  </si>
  <si>
    <t>Price_12pc</t>
  </si>
  <si>
    <t>Price_144pc</t>
  </si>
  <si>
    <t>Price_Bulk</t>
  </si>
  <si>
    <t>Bulk_Qty_Min</t>
  </si>
  <si>
    <t>In_Stock</t>
  </si>
  <si>
    <t>Is_Decorative</t>
  </si>
  <si>
    <t>Product_URL</t>
  </si>
  <si>
    <t>Image_URL</t>
  </si>
  <si>
    <t>Shopify_Product_ID</t>
  </si>
  <si>
    <t>Shopify_Variant_ID</t>
  </si>
  <si>
    <t>Last_Scraped</t>
  </si>
  <si>
    <t>GBCyl25RdcrShnGl</t>
  </si>
  <si>
    <t>25ml Clear Cylinder with Gold Reducer</t>
  </si>
  <si>
    <t>Cylinder design 25 ml clear glass bottle with reducer and shiny gold cap. For use with cologne, aftershave, splash on, and perfume or fragrance oil, beard oils. Cylinder design is a family of bottles available in 25ml, 50ml and 100ml sizes.</t>
  </si>
  <si>
    <t>Classic Glass Bottles With Attractive Caps</t>
  </si>
  <si>
    <t>18-415</t>
  </si>
  <si>
    <t>Glass</t>
  </si>
  <si>
    <t>Clear</t>
  </si>
  <si>
    <t>Cylinder</t>
  </si>
  <si>
    <t>Reducer</t>
  </si>
  <si>
    <t>Gold</t>
  </si>
  <si>
    <t>Shiny</t>
  </si>
  <si>
    <t>Yes</t>
  </si>
  <si>
    <t>No</t>
  </si>
  <si>
    <t>https://www.bestbottles.com/product/cylinder-design-25-ml-glass-bottle-reducer-shiny-gold-cap</t>
  </si>
  <si>
    <t>https://www.bestbottles.com/images/store/enlarged_pics/GBCyl25RdcrShnGl.gif</t>
  </si>
  <si>
    <t>2026-02-01</t>
  </si>
  <si>
    <t>GBCyl5RollBlkDot</t>
  </si>
  <si>
    <t>5ml Clear Cylinder with Black Plastic Roller Ball</t>
  </si>
  <si>
    <t>Cylinder design 5.5ml, 1/6oz Clear glass bottle with plastic roller ball plug and black shiny cap with dots. For use with perfume or fragrance oil, essential oils, aromatic oils and aromatherapy. Refillable, Small sized bottle for decants, promotion, samples.</t>
  </si>
  <si>
    <t>Roll-On Bottles</t>
  </si>
  <si>
    <t>13-415</t>
  </si>
  <si>
    <t>Plastic Roller Ball</t>
  </si>
  <si>
    <t>Black</t>
  </si>
  <si>
    <t>https://www.bestbottles.com/product/cylinder-design-5-ml-glass-bottle-plastic-roller-ball-plug-black-shiny-cap-with-dots</t>
  </si>
  <si>
    <t>https://www.bestbottles.com/images/store/enlarged_pics/GBCyl5RollBlkDot.gif</t>
  </si>
  <si>
    <t>GBHeartFrst4KeyGld</t>
  </si>
  <si>
    <t>4ml Frosted Heart with Gold None</t>
  </si>
  <si>
    <t>Heart design 4 ml, Frosted glass bottle with gold key chain. For use with perfume or fragrance oil, essential oil. Great for Valentines, gifts, promotions, and wedding and party favors.</t>
  </si>
  <si>
    <t>Decorative Bottles</t>
  </si>
  <si>
    <t>8mm</t>
  </si>
  <si>
    <t>Frosted</t>
  </si>
  <si>
    <t>Heart</t>
  </si>
  <si>
    <t>Keychain</t>
  </si>
  <si>
    <t>https://www.bestbottles.com/product/Frosted-glass-small-heart-shaped-bottle-with-gold-key-chain</t>
  </si>
  <si>
    <t>https://www.bestbottles.com/images/store/enlarged_pics/GBHeartFrst4KeyGld.gif</t>
  </si>
  <si>
    <t>GB3TPlGl</t>
  </si>
  <si>
    <t>3ml Clear Octagonal with Gold None</t>
  </si>
  <si>
    <t>Octagonal style 3 ml glass bottle with shiny gold cap and red bead. For use with perfume oil, aromatic oils, fragrance oils and attars. These bottles are traditionally called 'tola' bottles.</t>
  </si>
  <si>
    <t>Tola Bottles</t>
  </si>
  <si>
    <t>14.3mm</t>
  </si>
  <si>
    <t>Octagonal</t>
  </si>
  <si>
    <t>https://www.bestbottles.com/product/Octagonal-style-3-ml-glass-bottle-shiny-gold-cap-red-bead</t>
  </si>
  <si>
    <t>https://www.bestbottles.com/images/store/enlarged_pics/GB3TPlGl.gif</t>
  </si>
  <si>
    <t>GBCyl50SpryMtGl</t>
  </si>
  <si>
    <t>50ml Clear Cylinder with Gold Spray Pump</t>
  </si>
  <si>
    <t>Cylinder design 50 ml, 1.7oz clear glass bottle with matte gold spray pump. For use with cologne, Eau de Parfum, air freshner, face and body spray, or room spray. Cylinder design is a family of bottles available in 30ml, 50ml and 100ml sizes.</t>
  </si>
  <si>
    <t>Spray Bottles</t>
  </si>
  <si>
    <t>Spray Pump</t>
  </si>
  <si>
    <t>Matte</t>
  </si>
  <si>
    <t>https://www.bestbottles.com/product/cylinder-design-50-ml-glass-bottle-matte-gold-spray-pump-and-cap</t>
  </si>
  <si>
    <t>https://www.bestbottles.com/images/store/enlarged_pics/GBCyl50SpryMtGl.gif</t>
  </si>
  <si>
    <t>GBCyl25DrpGl</t>
  </si>
  <si>
    <t>25ml Clear Cylinder with Gold Dropper</t>
  </si>
  <si>
    <t>Cylinder design 25 ml clear glass bottle with white dropper with shiny gold collar cap. For use with perfume oils, diffuser oils, serums, primers, facial oils or face oils, moisturizer, and beard oils.</t>
  </si>
  <si>
    <t>Dropper Bottles</t>
  </si>
  <si>
    <t>Dropper</t>
  </si>
  <si>
    <t>https://www.bestbottles.com/product/cylinder-design-25-ml-glass-bottle-white-dropper-shiny-gold-collar-cap</t>
  </si>
  <si>
    <t>https://www.bestbottles.com/images/store/enlarged_pics/GBCyl25DrpGl.gif</t>
  </si>
  <si>
    <t>Qty_Min</t>
  </si>
  <si>
    <t>Qty_Max</t>
  </si>
  <si>
    <t>Price_Per_Unit</t>
  </si>
  <si>
    <t>Total_Price</t>
  </si>
  <si>
    <t>Tier_Name</t>
  </si>
  <si>
    <t>Single</t>
  </si>
  <si>
    <t>Dozen</t>
  </si>
  <si>
    <t>Gross</t>
  </si>
  <si>
    <t>Case</t>
  </si>
  <si>
    <t>Bulk</t>
  </si>
  <si>
    <t>Plug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</si>
</sst>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amily val="2"/>
    </font>
  </fonts>
  <fills count="4">
    <fill>
      <patternFill patternType="none"/>
    </fill>
    <fill>
      <patternFill patternType="gray125"/>
    </fill>
    <fill>
      <patternFill patternType="solid">
        <fgColor rgb="FF2E3133"/>
      </patternFill>
    </fill>
    <fill>
      <patternFill patternType="solid">
        <fgColor rgb="FFF9F8F4"/>
      </patternFill>
    </fill>
  </fills>
  <borders count="2">
    <border>
      <left/>
      <right/>
      <top/>
      <bottom/>
      <diagonal/>
    </border>
    <border>
      <left style="thin">
        <color rgb="FF607D8B"/>
      </left>
      <right style="thin">
        <color rgb="FF607D8B"/>
      </right>
      <top style="thin">
        <color rgb="FF607D8B"/>
      </top>
      <bottom style="thin">
        <color rgb="FF607D8B"/>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center" wrapText="1"/>
    </xf>
    <xf numFmtId="0" fontId="0" fillId="0" borderId="1" xfId="0" applyBorder="1" applyAlignment="1">
      <alignment vertical="center"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
  <sheetViews>
    <sheetView tabSelected="1" workbookViewId="0">
      <selection activeCell="A5" sqref="A5:XFD5"/>
    </sheetView>
  </sheetViews>
  <sheetFormatPr baseColWidth="10" defaultColWidth="8.83203125" defaultRowHeight="15" x14ac:dyDescent="0.2"/>
  <cols>
    <col min="1" max="1" width="22" customWidth="1"/>
    <col min="2" max="2" width="45" customWidth="1"/>
    <col min="3" max="3" width="70" customWidth="1"/>
    <col min="4" max="4" width="25" customWidth="1"/>
    <col min="5" max="5" width="22" customWidth="1"/>
    <col min="6" max="7" width="12" customWidth="1"/>
    <col min="8" max="8" width="18" customWidth="1"/>
    <col min="9" max="9" width="20" customWidth="1"/>
    <col min="10" max="10" width="12" customWidth="1"/>
    <col min="11" max="12" width="10" customWidth="1"/>
    <col min="13" max="13" width="16" customWidth="1"/>
    <col min="14" max="14" width="10" customWidth="1"/>
    <col min="15" max="16" width="12" customWidth="1"/>
    <col min="17" max="17" width="18" customWidth="1"/>
    <col min="18" max="19" width="12" customWidth="1"/>
    <col min="20" max="23" width="10" customWidth="1"/>
    <col min="24" max="24" width="12" customWidth="1"/>
    <col min="25" max="25" width="10" customWidth="1"/>
    <col min="26" max="26" width="12" customWidth="1"/>
    <col min="27" max="27" width="55" customWidth="1"/>
    <col min="28" max="28" width="65" customWidth="1"/>
    <col min="29" max="30" width="18" customWidth="1"/>
    <col min="31" max="31" width="14" customWidth="1"/>
  </cols>
  <sheetData>
    <row r="1" spans="1:31" ht="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48" x14ac:dyDescent="0.2">
      <c r="A2" s="2" t="s">
        <v>31</v>
      </c>
      <c r="B2" s="2" t="s">
        <v>32</v>
      </c>
      <c r="C2" s="2" t="s">
        <v>33</v>
      </c>
      <c r="D2" s="2" t="s">
        <v>34</v>
      </c>
      <c r="E2" s="2" t="s">
        <v>34</v>
      </c>
      <c r="F2" s="2">
        <v>25</v>
      </c>
      <c r="G2" s="2">
        <v>0.85</v>
      </c>
      <c r="H2" s="2">
        <v>87</v>
      </c>
      <c r="I2" s="2">
        <v>83</v>
      </c>
      <c r="J2" s="2">
        <v>32</v>
      </c>
      <c r="K2" s="2"/>
      <c r="L2" s="2"/>
      <c r="M2" s="2" t="s">
        <v>35</v>
      </c>
      <c r="N2" s="2" t="s">
        <v>36</v>
      </c>
      <c r="O2" s="2" t="s">
        <v>37</v>
      </c>
      <c r="P2" s="2" t="s">
        <v>38</v>
      </c>
      <c r="Q2" s="2" t="s">
        <v>39</v>
      </c>
      <c r="R2" s="2" t="s">
        <v>40</v>
      </c>
      <c r="S2" s="2" t="s">
        <v>41</v>
      </c>
      <c r="T2" s="2">
        <v>1.47</v>
      </c>
      <c r="U2" s="2">
        <v>1.4</v>
      </c>
      <c r="V2" s="2">
        <v>1.32</v>
      </c>
      <c r="W2" s="2">
        <v>1.1499999999999999</v>
      </c>
      <c r="X2" s="2">
        <v>960</v>
      </c>
      <c r="Y2" s="2" t="s">
        <v>42</v>
      </c>
      <c r="Z2" s="2" t="s">
        <v>43</v>
      </c>
      <c r="AA2" s="2" t="s">
        <v>44</v>
      </c>
      <c r="AB2" s="2" t="s">
        <v>45</v>
      </c>
      <c r="AC2" s="2"/>
      <c r="AD2" s="2"/>
      <c r="AE2" s="2" t="s">
        <v>46</v>
      </c>
    </row>
    <row r="3" spans="1:31" ht="48" x14ac:dyDescent="0.2">
      <c r="A3" s="3" t="s">
        <v>47</v>
      </c>
      <c r="B3" s="3" t="s">
        <v>48</v>
      </c>
      <c r="C3" s="3" t="s">
        <v>49</v>
      </c>
      <c r="D3" s="3" t="s">
        <v>50</v>
      </c>
      <c r="E3" s="3" t="s">
        <v>50</v>
      </c>
      <c r="F3" s="3">
        <v>5</v>
      </c>
      <c r="G3" s="3">
        <v>0.17</v>
      </c>
      <c r="H3" s="3">
        <v>65</v>
      </c>
      <c r="I3" s="3">
        <v>53</v>
      </c>
      <c r="J3" s="3">
        <v>17</v>
      </c>
      <c r="K3" s="3"/>
      <c r="L3" s="3"/>
      <c r="M3" s="3" t="s">
        <v>51</v>
      </c>
      <c r="N3" s="3" t="s">
        <v>36</v>
      </c>
      <c r="O3" s="3" t="s">
        <v>37</v>
      </c>
      <c r="P3" s="3" t="s">
        <v>38</v>
      </c>
      <c r="Q3" s="3" t="s">
        <v>52</v>
      </c>
      <c r="R3" s="3" t="s">
        <v>53</v>
      </c>
      <c r="S3" s="3" t="s">
        <v>41</v>
      </c>
      <c r="T3" s="3">
        <v>0.6</v>
      </c>
      <c r="U3" s="3">
        <v>0.56999999999999995</v>
      </c>
      <c r="V3" s="3">
        <v>0.54</v>
      </c>
      <c r="W3" s="3">
        <v>0.47</v>
      </c>
      <c r="X3" s="3">
        <v>4320</v>
      </c>
      <c r="Y3" s="3" t="s">
        <v>42</v>
      </c>
      <c r="Z3" s="3" t="s">
        <v>43</v>
      </c>
      <c r="AA3" s="3" t="s">
        <v>54</v>
      </c>
      <c r="AB3" s="3" t="s">
        <v>55</v>
      </c>
      <c r="AC3" s="3"/>
      <c r="AD3" s="3"/>
      <c r="AE3" s="3" t="s">
        <v>46</v>
      </c>
    </row>
    <row r="4" spans="1:31" ht="48" x14ac:dyDescent="0.2">
      <c r="A4" s="2" t="s">
        <v>56</v>
      </c>
      <c r="B4" s="2" t="s">
        <v>57</v>
      </c>
      <c r="C4" s="2" t="s">
        <v>58</v>
      </c>
      <c r="D4" s="2" t="s">
        <v>59</v>
      </c>
      <c r="E4" s="2" t="s">
        <v>59</v>
      </c>
      <c r="F4" s="2">
        <v>4</v>
      </c>
      <c r="G4" s="2">
        <v>0.14000000000000001</v>
      </c>
      <c r="H4" s="2">
        <v>53</v>
      </c>
      <c r="I4" s="2">
        <v>46</v>
      </c>
      <c r="J4" s="2"/>
      <c r="K4" s="2">
        <v>32</v>
      </c>
      <c r="L4" s="2">
        <v>12</v>
      </c>
      <c r="M4" s="2" t="s">
        <v>60</v>
      </c>
      <c r="N4" s="2" t="s">
        <v>36</v>
      </c>
      <c r="O4" s="2" t="s">
        <v>61</v>
      </c>
      <c r="P4" s="2" t="s">
        <v>62</v>
      </c>
      <c r="Q4" s="2"/>
      <c r="R4" s="2" t="s">
        <v>40</v>
      </c>
      <c r="S4" s="2" t="s">
        <v>63</v>
      </c>
      <c r="T4" s="2">
        <v>2.95</v>
      </c>
      <c r="U4" s="2">
        <v>2.8</v>
      </c>
      <c r="V4" s="2">
        <v>2.66</v>
      </c>
      <c r="W4" s="2">
        <v>2.2999999999999998</v>
      </c>
      <c r="X4" s="2">
        <v>2500</v>
      </c>
      <c r="Y4" s="2" t="s">
        <v>43</v>
      </c>
      <c r="Z4" s="2" t="s">
        <v>42</v>
      </c>
      <c r="AA4" s="2" t="s">
        <v>64</v>
      </c>
      <c r="AB4" s="2" t="s">
        <v>65</v>
      </c>
      <c r="AC4" s="2"/>
      <c r="AD4" s="2"/>
      <c r="AE4" s="2" t="s">
        <v>46</v>
      </c>
    </row>
    <row r="5" spans="1:31" ht="48" x14ac:dyDescent="0.2">
      <c r="A5" s="3" t="s">
        <v>66</v>
      </c>
      <c r="B5" s="3" t="s">
        <v>67</v>
      </c>
      <c r="C5" s="3" t="s">
        <v>68</v>
      </c>
      <c r="D5" s="3" t="s">
        <v>69</v>
      </c>
      <c r="E5" s="3" t="s">
        <v>69</v>
      </c>
      <c r="F5" s="3">
        <v>3</v>
      </c>
      <c r="G5" s="3">
        <v>0.1</v>
      </c>
      <c r="H5" s="3">
        <v>53</v>
      </c>
      <c r="I5" s="3">
        <v>42</v>
      </c>
      <c r="J5" s="3">
        <v>18</v>
      </c>
      <c r="K5" s="3">
        <v>18</v>
      </c>
      <c r="L5" s="3"/>
      <c r="M5" s="3" t="s">
        <v>70</v>
      </c>
      <c r="N5" s="3" t="s">
        <v>36</v>
      </c>
      <c r="O5" s="3" t="s">
        <v>37</v>
      </c>
      <c r="P5" s="3" t="s">
        <v>71</v>
      </c>
      <c r="Q5" s="3" t="s">
        <v>99</v>
      </c>
      <c r="R5" s="3" t="s">
        <v>40</v>
      </c>
      <c r="S5" s="3" t="s">
        <v>41</v>
      </c>
      <c r="T5" s="3">
        <v>0.44</v>
      </c>
      <c r="U5" s="3">
        <v>0.42</v>
      </c>
      <c r="V5" s="3">
        <v>0.4</v>
      </c>
      <c r="W5" s="3">
        <v>0.34</v>
      </c>
      <c r="X5" s="3">
        <v>4800</v>
      </c>
      <c r="Y5" s="3" t="s">
        <v>42</v>
      </c>
      <c r="Z5" s="3" t="s">
        <v>42</v>
      </c>
      <c r="AA5" s="3" t="s">
        <v>72</v>
      </c>
      <c r="AB5" s="3" t="s">
        <v>73</v>
      </c>
      <c r="AC5" s="3"/>
      <c r="AD5" s="3"/>
      <c r="AE5" s="3" t="s">
        <v>46</v>
      </c>
    </row>
    <row r="6" spans="1:31" ht="48" x14ac:dyDescent="0.2">
      <c r="A6" s="2" t="s">
        <v>74</v>
      </c>
      <c r="B6" s="2" t="s">
        <v>75</v>
      </c>
      <c r="C6" s="2" t="s">
        <v>76</v>
      </c>
      <c r="D6" s="2" t="s">
        <v>77</v>
      </c>
      <c r="E6" s="2" t="s">
        <v>77</v>
      </c>
      <c r="F6" s="2">
        <v>50</v>
      </c>
      <c r="G6" s="2">
        <v>1.69</v>
      </c>
      <c r="H6" s="2">
        <v>142</v>
      </c>
      <c r="I6" s="2">
        <v>117</v>
      </c>
      <c r="J6" s="2">
        <v>32</v>
      </c>
      <c r="K6" s="2"/>
      <c r="L6" s="2"/>
      <c r="M6" s="2" t="s">
        <v>35</v>
      </c>
      <c r="N6" s="2" t="s">
        <v>36</v>
      </c>
      <c r="O6" s="2" t="s">
        <v>37</v>
      </c>
      <c r="P6" s="2" t="s">
        <v>38</v>
      </c>
      <c r="Q6" s="2" t="s">
        <v>78</v>
      </c>
      <c r="R6" s="2" t="s">
        <v>40</v>
      </c>
      <c r="S6" s="2" t="s">
        <v>79</v>
      </c>
      <c r="T6" s="2">
        <v>2.7</v>
      </c>
      <c r="U6" s="2">
        <v>2.57</v>
      </c>
      <c r="V6" s="2">
        <v>2.4300000000000002</v>
      </c>
      <c r="W6" s="2">
        <v>2.11</v>
      </c>
      <c r="X6" s="2">
        <v>880</v>
      </c>
      <c r="Y6" s="2" t="s">
        <v>42</v>
      </c>
      <c r="Z6" s="2" t="s">
        <v>43</v>
      </c>
      <c r="AA6" s="2" t="s">
        <v>80</v>
      </c>
      <c r="AB6" s="2" t="s">
        <v>81</v>
      </c>
      <c r="AC6" s="2"/>
      <c r="AD6" s="2"/>
      <c r="AE6" s="2" t="s">
        <v>46</v>
      </c>
    </row>
    <row r="7" spans="1:31" ht="48" x14ac:dyDescent="0.2">
      <c r="A7" s="3" t="s">
        <v>82</v>
      </c>
      <c r="B7" s="3" t="s">
        <v>83</v>
      </c>
      <c r="C7" s="3" t="s">
        <v>84</v>
      </c>
      <c r="D7" s="3" t="s">
        <v>85</v>
      </c>
      <c r="E7" s="3" t="s">
        <v>85</v>
      </c>
      <c r="F7" s="3">
        <v>25</v>
      </c>
      <c r="G7" s="3">
        <v>0.85</v>
      </c>
      <c r="H7" s="3">
        <v>105</v>
      </c>
      <c r="I7" s="3">
        <v>83</v>
      </c>
      <c r="J7" s="3">
        <v>32</v>
      </c>
      <c r="K7" s="3"/>
      <c r="L7" s="3"/>
      <c r="M7" s="3" t="s">
        <v>35</v>
      </c>
      <c r="N7" s="3" t="s">
        <v>36</v>
      </c>
      <c r="O7" s="3" t="s">
        <v>37</v>
      </c>
      <c r="P7" s="3" t="s">
        <v>38</v>
      </c>
      <c r="Q7" s="3" t="s">
        <v>86</v>
      </c>
      <c r="R7" s="3" t="s">
        <v>40</v>
      </c>
      <c r="S7" s="3" t="s">
        <v>41</v>
      </c>
      <c r="T7" s="3">
        <v>1.65</v>
      </c>
      <c r="U7" s="3">
        <v>1.57</v>
      </c>
      <c r="V7" s="3">
        <v>1.49</v>
      </c>
      <c r="W7" s="3">
        <v>1.29</v>
      </c>
      <c r="X7" s="3">
        <v>960</v>
      </c>
      <c r="Y7" s="3" t="s">
        <v>42</v>
      </c>
      <c r="Z7" s="3" t="s">
        <v>43</v>
      </c>
      <c r="AA7" s="3" t="s">
        <v>87</v>
      </c>
      <c r="AB7" s="3" t="s">
        <v>88</v>
      </c>
      <c r="AC7" s="3"/>
      <c r="AD7" s="3"/>
      <c r="AE7" s="3" t="s">
        <v>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workbookViewId="0"/>
  </sheetViews>
  <sheetFormatPr baseColWidth="10" defaultColWidth="8.83203125" defaultRowHeight="15" x14ac:dyDescent="0.2"/>
  <cols>
    <col min="1" max="1" width="22" customWidth="1"/>
    <col min="2" max="3" width="10" customWidth="1"/>
    <col min="4" max="5" width="14" customWidth="1"/>
    <col min="6" max="6" width="12" customWidth="1"/>
  </cols>
  <sheetData>
    <row r="1" spans="1:6" x14ac:dyDescent="0.2">
      <c r="A1" s="4" t="s">
        <v>0</v>
      </c>
      <c r="B1" s="4" t="s">
        <v>89</v>
      </c>
      <c r="C1" s="4" t="s">
        <v>90</v>
      </c>
      <c r="D1" s="4" t="s">
        <v>91</v>
      </c>
      <c r="E1" s="4" t="s">
        <v>92</v>
      </c>
      <c r="F1" s="4" t="s">
        <v>93</v>
      </c>
    </row>
    <row r="2" spans="1:6" x14ac:dyDescent="0.2">
      <c r="A2" t="s">
        <v>31</v>
      </c>
      <c r="B2">
        <v>1</v>
      </c>
      <c r="C2">
        <v>11</v>
      </c>
      <c r="D2">
        <v>1.47</v>
      </c>
      <c r="E2">
        <f t="shared" ref="E2:E31" si="0">B2*D2</f>
        <v>1.47</v>
      </c>
      <c r="F2" t="s">
        <v>94</v>
      </c>
    </row>
    <row r="3" spans="1:6" x14ac:dyDescent="0.2">
      <c r="A3" t="s">
        <v>31</v>
      </c>
      <c r="B3">
        <v>12</v>
      </c>
      <c r="C3">
        <v>143</v>
      </c>
      <c r="D3">
        <v>1.4</v>
      </c>
      <c r="E3">
        <f t="shared" si="0"/>
        <v>16.799999999999997</v>
      </c>
      <c r="F3" t="s">
        <v>95</v>
      </c>
    </row>
    <row r="4" spans="1:6" x14ac:dyDescent="0.2">
      <c r="A4" t="s">
        <v>31</v>
      </c>
      <c r="B4">
        <v>144</v>
      </c>
      <c r="C4">
        <v>191</v>
      </c>
      <c r="D4">
        <v>1.32</v>
      </c>
      <c r="E4">
        <f t="shared" si="0"/>
        <v>190.08</v>
      </c>
      <c r="F4" t="s">
        <v>96</v>
      </c>
    </row>
    <row r="5" spans="1:6" x14ac:dyDescent="0.2">
      <c r="A5" t="s">
        <v>31</v>
      </c>
      <c r="B5">
        <v>192</v>
      </c>
      <c r="C5">
        <v>959</v>
      </c>
      <c r="D5">
        <v>1.25</v>
      </c>
      <c r="E5">
        <f t="shared" si="0"/>
        <v>240</v>
      </c>
      <c r="F5" t="s">
        <v>97</v>
      </c>
    </row>
    <row r="6" spans="1:6" x14ac:dyDescent="0.2">
      <c r="A6" t="s">
        <v>31</v>
      </c>
      <c r="B6">
        <v>960</v>
      </c>
      <c r="C6">
        <v>999999</v>
      </c>
      <c r="D6">
        <v>1.1499999999999999</v>
      </c>
      <c r="E6">
        <f t="shared" si="0"/>
        <v>1104</v>
      </c>
      <c r="F6" t="s">
        <v>98</v>
      </c>
    </row>
    <row r="7" spans="1:6" x14ac:dyDescent="0.2">
      <c r="A7" t="s">
        <v>47</v>
      </c>
      <c r="B7">
        <v>1</v>
      </c>
      <c r="C7">
        <v>11</v>
      </c>
      <c r="D7">
        <v>0.6</v>
      </c>
      <c r="E7">
        <f t="shared" si="0"/>
        <v>0.6</v>
      </c>
      <c r="F7" t="s">
        <v>94</v>
      </c>
    </row>
    <row r="8" spans="1:6" x14ac:dyDescent="0.2">
      <c r="A8" t="s">
        <v>47</v>
      </c>
      <c r="B8">
        <v>12</v>
      </c>
      <c r="C8">
        <v>143</v>
      </c>
      <c r="D8">
        <v>0.56999999999999995</v>
      </c>
      <c r="E8">
        <f t="shared" si="0"/>
        <v>6.84</v>
      </c>
      <c r="F8" t="s">
        <v>95</v>
      </c>
    </row>
    <row r="9" spans="1:6" x14ac:dyDescent="0.2">
      <c r="A9" t="s">
        <v>47</v>
      </c>
      <c r="B9">
        <v>144</v>
      </c>
      <c r="C9">
        <v>863</v>
      </c>
      <c r="D9">
        <v>0.54</v>
      </c>
      <c r="E9">
        <f t="shared" si="0"/>
        <v>77.760000000000005</v>
      </c>
      <c r="F9" t="s">
        <v>96</v>
      </c>
    </row>
    <row r="10" spans="1:6" x14ac:dyDescent="0.2">
      <c r="A10" t="s">
        <v>47</v>
      </c>
      <c r="B10">
        <v>864</v>
      </c>
      <c r="C10">
        <v>4319</v>
      </c>
      <c r="D10">
        <v>0.51</v>
      </c>
      <c r="E10">
        <f t="shared" si="0"/>
        <v>440.64</v>
      </c>
      <c r="F10" t="s">
        <v>97</v>
      </c>
    </row>
    <row r="11" spans="1:6" x14ac:dyDescent="0.2">
      <c r="A11" t="s">
        <v>47</v>
      </c>
      <c r="B11">
        <v>4320</v>
      </c>
      <c r="C11">
        <v>999999</v>
      </c>
      <c r="D11">
        <v>0.47</v>
      </c>
      <c r="E11">
        <f t="shared" si="0"/>
        <v>2030.3999999999999</v>
      </c>
      <c r="F11" t="s">
        <v>98</v>
      </c>
    </row>
    <row r="12" spans="1:6" x14ac:dyDescent="0.2">
      <c r="A12" t="s">
        <v>56</v>
      </c>
      <c r="B12">
        <v>1</v>
      </c>
      <c r="C12">
        <v>11</v>
      </c>
      <c r="D12">
        <v>2.95</v>
      </c>
      <c r="E12">
        <f t="shared" si="0"/>
        <v>2.95</v>
      </c>
      <c r="F12" t="s">
        <v>94</v>
      </c>
    </row>
    <row r="13" spans="1:6" x14ac:dyDescent="0.2">
      <c r="A13" t="s">
        <v>56</v>
      </c>
      <c r="B13">
        <v>12</v>
      </c>
      <c r="C13">
        <v>143</v>
      </c>
      <c r="D13">
        <v>2.8</v>
      </c>
      <c r="E13">
        <f t="shared" si="0"/>
        <v>33.599999999999994</v>
      </c>
      <c r="F13" t="s">
        <v>95</v>
      </c>
    </row>
    <row r="14" spans="1:6" x14ac:dyDescent="0.2">
      <c r="A14" t="s">
        <v>56</v>
      </c>
      <c r="B14">
        <v>144</v>
      </c>
      <c r="C14">
        <v>499</v>
      </c>
      <c r="D14">
        <v>2.66</v>
      </c>
      <c r="E14">
        <f t="shared" si="0"/>
        <v>383.04</v>
      </c>
      <c r="F14" t="s">
        <v>96</v>
      </c>
    </row>
    <row r="15" spans="1:6" x14ac:dyDescent="0.2">
      <c r="A15" t="s">
        <v>56</v>
      </c>
      <c r="B15">
        <v>500</v>
      </c>
      <c r="C15">
        <v>2499</v>
      </c>
      <c r="D15">
        <v>2.5099999999999998</v>
      </c>
      <c r="E15">
        <f t="shared" si="0"/>
        <v>1255</v>
      </c>
      <c r="F15" t="s">
        <v>97</v>
      </c>
    </row>
    <row r="16" spans="1:6" x14ac:dyDescent="0.2">
      <c r="A16" t="s">
        <v>56</v>
      </c>
      <c r="B16">
        <v>2500</v>
      </c>
      <c r="C16">
        <v>999999</v>
      </c>
      <c r="D16">
        <v>2.2999999999999998</v>
      </c>
      <c r="E16">
        <f t="shared" si="0"/>
        <v>5750</v>
      </c>
      <c r="F16" t="s">
        <v>98</v>
      </c>
    </row>
    <row r="17" spans="1:6" x14ac:dyDescent="0.2">
      <c r="A17" t="s">
        <v>66</v>
      </c>
      <c r="B17">
        <v>1</v>
      </c>
      <c r="C17">
        <v>11</v>
      </c>
      <c r="D17">
        <v>0.44</v>
      </c>
      <c r="E17">
        <f t="shared" si="0"/>
        <v>0.44</v>
      </c>
      <c r="F17" t="s">
        <v>94</v>
      </c>
    </row>
    <row r="18" spans="1:6" x14ac:dyDescent="0.2">
      <c r="A18" t="s">
        <v>66</v>
      </c>
      <c r="B18">
        <v>12</v>
      </c>
      <c r="C18">
        <v>143</v>
      </c>
      <c r="D18">
        <v>0.42</v>
      </c>
      <c r="E18">
        <f t="shared" si="0"/>
        <v>5.04</v>
      </c>
      <c r="F18" t="s">
        <v>95</v>
      </c>
    </row>
    <row r="19" spans="1:6" x14ac:dyDescent="0.2">
      <c r="A19" t="s">
        <v>66</v>
      </c>
      <c r="B19">
        <v>144</v>
      </c>
      <c r="C19">
        <v>959</v>
      </c>
      <c r="D19">
        <v>0.4</v>
      </c>
      <c r="E19">
        <f t="shared" si="0"/>
        <v>57.6</v>
      </c>
      <c r="F19" t="s">
        <v>96</v>
      </c>
    </row>
    <row r="20" spans="1:6" x14ac:dyDescent="0.2">
      <c r="A20" t="s">
        <v>66</v>
      </c>
      <c r="B20">
        <v>960</v>
      </c>
      <c r="C20">
        <v>4799</v>
      </c>
      <c r="D20">
        <v>0.37</v>
      </c>
      <c r="E20">
        <f t="shared" si="0"/>
        <v>355.2</v>
      </c>
      <c r="F20" t="s">
        <v>97</v>
      </c>
    </row>
    <row r="21" spans="1:6" x14ac:dyDescent="0.2">
      <c r="A21" t="s">
        <v>66</v>
      </c>
      <c r="B21">
        <v>4800</v>
      </c>
      <c r="C21">
        <v>999999</v>
      </c>
      <c r="D21">
        <v>0.34</v>
      </c>
      <c r="E21">
        <f t="shared" si="0"/>
        <v>1632.0000000000002</v>
      </c>
      <c r="F21" t="s">
        <v>98</v>
      </c>
    </row>
    <row r="22" spans="1:6" x14ac:dyDescent="0.2">
      <c r="A22" t="s">
        <v>74</v>
      </c>
      <c r="B22">
        <v>1</v>
      </c>
      <c r="C22">
        <v>11</v>
      </c>
      <c r="D22">
        <v>2.7</v>
      </c>
      <c r="E22">
        <f t="shared" si="0"/>
        <v>2.7</v>
      </c>
      <c r="F22" t="s">
        <v>94</v>
      </c>
    </row>
    <row r="23" spans="1:6" x14ac:dyDescent="0.2">
      <c r="A23" t="s">
        <v>74</v>
      </c>
      <c r="B23">
        <v>12</v>
      </c>
      <c r="C23">
        <v>143</v>
      </c>
      <c r="D23">
        <v>2.57</v>
      </c>
      <c r="E23">
        <f t="shared" si="0"/>
        <v>30.839999999999996</v>
      </c>
      <c r="F23" t="s">
        <v>95</v>
      </c>
    </row>
    <row r="24" spans="1:6" x14ac:dyDescent="0.2">
      <c r="A24" t="s">
        <v>74</v>
      </c>
      <c r="B24">
        <v>144</v>
      </c>
      <c r="C24">
        <v>175</v>
      </c>
      <c r="D24">
        <v>2.4300000000000002</v>
      </c>
      <c r="E24">
        <f t="shared" si="0"/>
        <v>349.92</v>
      </c>
      <c r="F24" t="s">
        <v>96</v>
      </c>
    </row>
    <row r="25" spans="1:6" x14ac:dyDescent="0.2">
      <c r="A25" t="s">
        <v>74</v>
      </c>
      <c r="B25">
        <v>176</v>
      </c>
      <c r="C25">
        <v>879</v>
      </c>
      <c r="D25">
        <v>2.2999999999999998</v>
      </c>
      <c r="E25">
        <f t="shared" si="0"/>
        <v>404.79999999999995</v>
      </c>
      <c r="F25" t="s">
        <v>97</v>
      </c>
    </row>
    <row r="26" spans="1:6" x14ac:dyDescent="0.2">
      <c r="A26" t="s">
        <v>74</v>
      </c>
      <c r="B26">
        <v>880</v>
      </c>
      <c r="C26">
        <v>999999</v>
      </c>
      <c r="D26">
        <v>2.11</v>
      </c>
      <c r="E26">
        <f t="shared" si="0"/>
        <v>1856.8</v>
      </c>
      <c r="F26" t="s">
        <v>98</v>
      </c>
    </row>
    <row r="27" spans="1:6" x14ac:dyDescent="0.2">
      <c r="A27" t="s">
        <v>82</v>
      </c>
      <c r="B27">
        <v>1</v>
      </c>
      <c r="C27">
        <v>11</v>
      </c>
      <c r="D27">
        <v>1.65</v>
      </c>
      <c r="E27">
        <f t="shared" si="0"/>
        <v>1.65</v>
      </c>
      <c r="F27" t="s">
        <v>94</v>
      </c>
    </row>
    <row r="28" spans="1:6" x14ac:dyDescent="0.2">
      <c r="A28" t="s">
        <v>82</v>
      </c>
      <c r="B28">
        <v>12</v>
      </c>
      <c r="C28">
        <v>143</v>
      </c>
      <c r="D28">
        <v>1.57</v>
      </c>
      <c r="E28">
        <f t="shared" si="0"/>
        <v>18.84</v>
      </c>
      <c r="F28" t="s">
        <v>95</v>
      </c>
    </row>
    <row r="29" spans="1:6" x14ac:dyDescent="0.2">
      <c r="A29" t="s">
        <v>82</v>
      </c>
      <c r="B29">
        <v>144</v>
      </c>
      <c r="C29">
        <v>191</v>
      </c>
      <c r="D29">
        <v>1.49</v>
      </c>
      <c r="E29">
        <f t="shared" si="0"/>
        <v>214.56</v>
      </c>
      <c r="F29" t="s">
        <v>96</v>
      </c>
    </row>
    <row r="30" spans="1:6" x14ac:dyDescent="0.2">
      <c r="A30" t="s">
        <v>82</v>
      </c>
      <c r="B30">
        <v>192</v>
      </c>
      <c r="C30">
        <v>959</v>
      </c>
      <c r="D30">
        <v>1.4</v>
      </c>
      <c r="E30">
        <f t="shared" si="0"/>
        <v>268.79999999999995</v>
      </c>
      <c r="F30" t="s">
        <v>97</v>
      </c>
    </row>
    <row r="31" spans="1:6" x14ac:dyDescent="0.2">
      <c r="A31" t="s">
        <v>82</v>
      </c>
      <c r="B31">
        <v>960</v>
      </c>
      <c r="C31">
        <v>999999</v>
      </c>
      <c r="D31">
        <v>1.29</v>
      </c>
      <c r="E31">
        <f t="shared" si="0"/>
        <v>1238.4000000000001</v>
      </c>
      <c r="F31" t="s">
        <v>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Pricing_Detail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jordan Richter</cp:lastModifiedBy>
  <dcterms:created xsi:type="dcterms:W3CDTF">2026-02-01T19:00:31Z</dcterms:created>
  <dcterms:modified xsi:type="dcterms:W3CDTF">2026-02-01T21:10:16Z</dcterms:modified>
</cp:coreProperties>
</file>