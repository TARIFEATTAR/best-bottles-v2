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roducts" sheetId="1" state="visible" r:id="rId2"/>
    <sheet name="Bottle Variants" sheetId="2" state="visible" r:id="rId3"/>
    <sheet name="Fitment Options" sheetId="3" state="visible" r:id="rId4"/>
    <sheet name="Cap Options" sheetId="4" state="visible" r:id="rId5"/>
    <sheet name="Complete Products" sheetId="5" state="visible" r:id="rId6"/>
    <sheet name="Pricing Tiers" sheetId="6" state="visible" r:id="rId7"/>
    <sheet name="Neck Size Compatibility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<sst xmlns="http://schemas.openxmlformats.org/spreadsheetml/2006/main" count="340" uniqueCount="202">
  <si>
    <t xml:space="preserve">Master_SKU</t>
  </si>
  <si>
    <t xml:space="preserve">Product_Family</t>
  </si>
  <si>
    <t xml:space="preserve">Base_Name</t>
  </si>
  <si>
    <t xml:space="preserve">Shape</t>
  </si>
  <si>
    <t xml:space="preserve">Capacity_ml</t>
  </si>
  <si>
    <t xml:space="preserve">Capacity_oz</t>
  </si>
  <si>
    <t xml:space="preserve">Material</t>
  </si>
  <si>
    <t xml:space="preserve">Neck_Thread_Size</t>
  </si>
  <si>
    <t xml:space="preserve">Height_with_Cap_mm</t>
  </si>
  <si>
    <t xml:space="preserve">Height_without_Cap_mm</t>
  </si>
  <si>
    <t xml:space="preserve">Diameter_mm</t>
  </si>
  <si>
    <t xml:space="preserve">Width_mm</t>
  </si>
  <si>
    <t xml:space="preserve">Depth_mm</t>
  </si>
  <si>
    <t xml:space="preserve">Item_Type</t>
  </si>
  <si>
    <t xml:space="preserve">Category</t>
  </si>
  <si>
    <t xml:space="preserve">In_Stock</t>
  </si>
  <si>
    <t xml:space="preserve">Source_URL</t>
  </si>
  <si>
    <t xml:space="preserve">GBCyl5Roll</t>
  </si>
  <si>
    <t xml:space="preserve">Cylinder Roll-On 5ml</t>
  </si>
  <si>
    <t xml:space="preserve">Cylinder 5ml Roll-On Bottle</t>
  </si>
  <si>
    <t xml:space="preserve">Cylinder</t>
  </si>
  <si>
    <t xml:space="preserve">Glass</t>
  </si>
  <si>
    <t xml:space="preserve">13-415</t>
  </si>
  <si>
    <t xml:space="preserve">Roll on bottles</t>
  </si>
  <si>
    <t xml:space="preserve">Glass Bottles</t>
  </si>
  <si>
    <t xml:space="preserve">bestbottles.com</t>
  </si>
  <si>
    <t xml:space="preserve">GBCyl9Roll</t>
  </si>
  <si>
    <t xml:space="preserve">Cylinder Roll-On 9ml</t>
  </si>
  <si>
    <t xml:space="preserve">Cylinder 9ml Roll-On Bottle</t>
  </si>
  <si>
    <t xml:space="preserve">17-415</t>
  </si>
  <si>
    <t xml:space="preserve">GBHeart4</t>
  </si>
  <si>
    <t xml:space="preserve">Heart Decorative 4ml</t>
  </si>
  <si>
    <t xml:space="preserve">Heart 4ml Decorative Bottle</t>
  </si>
  <si>
    <t xml:space="preserve">Heart</t>
  </si>
  <si>
    <t xml:space="preserve">Frosted Glass</t>
  </si>
  <si>
    <t xml:space="preserve">8mm</t>
  </si>
  <si>
    <t xml:space="preserve">Decorative bottles</t>
  </si>
  <si>
    <t xml:space="preserve">Decorative Glass Bottles</t>
  </si>
  <si>
    <t xml:space="preserve">GBVial2</t>
  </si>
  <si>
    <t xml:space="preserve">Vial 2ml</t>
  </si>
  <si>
    <t xml:space="preserve">Vial 2ml Bottle</t>
  </si>
  <si>
    <t xml:space="preserve">Vial</t>
  </si>
  <si>
    <t xml:space="preserve">8-425</t>
  </si>
  <si>
    <t xml:space="preserve">Perfume vials</t>
  </si>
  <si>
    <t xml:space="preserve">GBBstn2oz</t>
  </si>
  <si>
    <t xml:space="preserve">Boston Round 2oz</t>
  </si>
  <si>
    <t xml:space="preserve">Boston Round 60ml Bottle</t>
  </si>
  <si>
    <t xml:space="preserve">Boston Round</t>
  </si>
  <si>
    <t xml:space="preserve">20-400</t>
  </si>
  <si>
    <t xml:space="preserve">Boston round bottles</t>
  </si>
  <si>
    <t xml:space="preserve">Variant_SKU</t>
  </si>
  <si>
    <t xml:space="preserve">Bottle_Color</t>
  </si>
  <si>
    <t xml:space="preserve">Material_Detail</t>
  </si>
  <si>
    <t xml:space="preserve">Price_Base</t>
  </si>
  <si>
    <t xml:space="preserve">GBCyl5RollClr</t>
  </si>
  <si>
    <t xml:space="preserve">Clear</t>
  </si>
  <si>
    <t xml:space="preserve">Clear Glass</t>
  </si>
  <si>
    <t xml:space="preserve">GBCyl5RollAmb</t>
  </si>
  <si>
    <t xml:space="preserve">Amber</t>
  </si>
  <si>
    <t xml:space="preserve">Amber Glass</t>
  </si>
  <si>
    <t xml:space="preserve">GBCyl5RollBlu</t>
  </si>
  <si>
    <t xml:space="preserve">Blue</t>
  </si>
  <si>
    <t xml:space="preserve">Blue Glass</t>
  </si>
  <si>
    <t xml:space="preserve">GBCyl5RollFrst</t>
  </si>
  <si>
    <t xml:space="preserve">Frosted</t>
  </si>
  <si>
    <t xml:space="preserve">GBCyl9RollClr</t>
  </si>
  <si>
    <t xml:space="preserve">GBCyl9RollAmb</t>
  </si>
  <si>
    <t xml:space="preserve">GBCyl9RollBlu</t>
  </si>
  <si>
    <t xml:space="preserve">GBVial2Amb</t>
  </si>
  <si>
    <t xml:space="preserve">GBVial2Clr</t>
  </si>
  <si>
    <t xml:space="preserve">GBVial2Blu</t>
  </si>
  <si>
    <t xml:space="preserve">GBHeartFrst4</t>
  </si>
  <si>
    <t xml:space="preserve">Fitment_SKU</t>
  </si>
  <si>
    <t xml:space="preserve">Fitment_Type</t>
  </si>
  <si>
    <t xml:space="preserve">Fitment_Material</t>
  </si>
  <si>
    <t xml:space="preserve">Compatible_Neck_Sizes</t>
  </si>
  <si>
    <t xml:space="preserve">Price_Addon</t>
  </si>
  <si>
    <t xml:space="preserve">Description</t>
  </si>
  <si>
    <t xml:space="preserve">PlsRoll13-415</t>
  </si>
  <si>
    <t xml:space="preserve">Plastic Roller Ball</t>
  </si>
  <si>
    <t xml:space="preserve">Plastic</t>
  </si>
  <si>
    <t xml:space="preserve">Standard plastic roller ball plug</t>
  </si>
  <si>
    <t xml:space="preserve">MtlRoll13-415</t>
  </si>
  <si>
    <t xml:space="preserve">Metal Roller Ball</t>
  </si>
  <si>
    <t xml:space="preserve">Stainless Steel</t>
  </si>
  <si>
    <t xml:space="preserve">Premium stainless steel roller ball</t>
  </si>
  <si>
    <t xml:space="preserve">PlsRoll17-415</t>
  </si>
  <si>
    <t xml:space="preserve">MtlRoll17-415</t>
  </si>
  <si>
    <t xml:space="preserve">Drp18-400</t>
  </si>
  <si>
    <t xml:space="preserve">Glass Dropper</t>
  </si>
  <si>
    <t xml:space="preserve">18-400</t>
  </si>
  <si>
    <t xml:space="preserve">Glass dropper with rubber bulb</t>
  </si>
  <si>
    <t xml:space="preserve">Drp20-400</t>
  </si>
  <si>
    <t xml:space="preserve">Sprayer18-415</t>
  </si>
  <si>
    <t xml:space="preserve">Fine Mist Sprayer</t>
  </si>
  <si>
    <t xml:space="preserve">18-415</t>
  </si>
  <si>
    <t xml:space="preserve">Fine mist pump sprayer</t>
  </si>
  <si>
    <t xml:space="preserve">Sprayer20-400</t>
  </si>
  <si>
    <t xml:space="preserve">Cap_SKU</t>
  </si>
  <si>
    <t xml:space="preserve">Cap_Color</t>
  </si>
  <si>
    <t xml:space="preserve">Cap_Style</t>
  </si>
  <si>
    <t xml:space="preserve">Cap_Material</t>
  </si>
  <si>
    <t xml:space="preserve">Price_Each</t>
  </si>
  <si>
    <t xml:space="preserve">CP13-415BlkDot</t>
  </si>
  <si>
    <t xml:space="preserve">Black</t>
  </si>
  <si>
    <t xml:space="preserve">Shiny w/Dots</t>
  </si>
  <si>
    <t xml:space="preserve">Black shiny cap with decorative dots</t>
  </si>
  <si>
    <t xml:space="preserve">CP13-415ShnGl</t>
  </si>
  <si>
    <t xml:space="preserve">Gold</t>
  </si>
  <si>
    <t xml:space="preserve">Shiny</t>
  </si>
  <si>
    <t xml:space="preserve">Shiny gold cap</t>
  </si>
  <si>
    <t xml:space="preserve">CP13-415ShnSl</t>
  </si>
  <si>
    <t xml:space="preserve">Silver</t>
  </si>
  <si>
    <t xml:space="preserve">Shiny silver cap</t>
  </si>
  <si>
    <t xml:space="preserve">CP13-415MttBlk</t>
  </si>
  <si>
    <t xml:space="preserve">Matte</t>
  </si>
  <si>
    <t xml:space="preserve">Matte black cap</t>
  </si>
  <si>
    <t xml:space="preserve">CP13-415MttSl</t>
  </si>
  <si>
    <t xml:space="preserve">Matte silver cap</t>
  </si>
  <si>
    <t xml:space="preserve">CP13-415ShnWht</t>
  </si>
  <si>
    <t xml:space="preserve">White</t>
  </si>
  <si>
    <t xml:space="preserve">Shiny white cap</t>
  </si>
  <si>
    <t xml:space="preserve">CP13-415ShnRose</t>
  </si>
  <si>
    <t xml:space="preserve">Rose Gold</t>
  </si>
  <si>
    <t xml:space="preserve">Shiny rose gold cap</t>
  </si>
  <si>
    <t xml:space="preserve">CP17-415BlkDot</t>
  </si>
  <si>
    <t xml:space="preserve">CP17-415ShnGl</t>
  </si>
  <si>
    <t xml:space="preserve">CP17-415ShnSl</t>
  </si>
  <si>
    <t xml:space="preserve">CP8-425BlkSht</t>
  </si>
  <si>
    <t xml:space="preserve">Short</t>
  </si>
  <si>
    <t xml:space="preserve">Short black cap</t>
  </si>
  <si>
    <t xml:space="preserve">CP8-425WhtSht</t>
  </si>
  <si>
    <t xml:space="preserve">Short white cap</t>
  </si>
  <si>
    <t xml:space="preserve">Full_SKU</t>
  </si>
  <si>
    <t xml:space="preserve">Capacity</t>
  </si>
  <si>
    <t xml:space="preserve">Price_1pc</t>
  </si>
  <si>
    <t xml:space="preserve">Price_12pc</t>
  </si>
  <si>
    <t xml:space="preserve">Price_144pc</t>
  </si>
  <si>
    <t xml:space="preserve">Price_Bulk</t>
  </si>
  <si>
    <t xml:space="preserve">Bulk_Qty</t>
  </si>
  <si>
    <t xml:space="preserve">Image_URL</t>
  </si>
  <si>
    <t xml:space="preserve">Product_URL</t>
  </si>
  <si>
    <t xml:space="preserve">GBCyl5RollBlkDot</t>
  </si>
  <si>
    <t xml:space="preserve">Plastic Roller</t>
  </si>
  <si>
    <t xml:space="preserve">Black Dot</t>
  </si>
  <si>
    <t xml:space="preserve">Cylinder design 5.5ml Clear glass bottle with plastic roller ball plug and black shiny cap with dots</t>
  </si>
  <si>
    <t xml:space="preserve">5 ml (0.17 oz)</t>
  </si>
  <si>
    <t xml:space="preserve">https://www.bestbottles.com/images/store/enlarged_pics/GBCyl5RollBlkDot.gif</t>
  </si>
  <si>
    <t xml:space="preserve">https://www.bestbottles.com/product/cylinder-design-5-ml-glass-bottle-plastic-roller-ball-plug-black-shiny-cap-with-dots</t>
  </si>
  <si>
    <t xml:space="preserve">GBCylBlu5RollBlkDot</t>
  </si>
  <si>
    <t xml:space="preserve">Cylinder design 5ml Blue glass bottle with plastic roller ball plug and black shiny cap with dots</t>
  </si>
  <si>
    <t xml:space="preserve">https://www.bestbottles.com/images/store/enlarged_pics/GBCylBlu5RollBlkDot.gif</t>
  </si>
  <si>
    <t xml:space="preserve">https://www.bestbottles.com/product/cylinder-design-5-ml-blue-glass-bottle-plastic-roller-ball-plug-black-shiny-cap-with-dots</t>
  </si>
  <si>
    <t xml:space="preserve">GBVAmb2BlackCap</t>
  </si>
  <si>
    <t xml:space="preserve">None</t>
  </si>
  <si>
    <t xml:space="preserve">Black Short</t>
  </si>
  <si>
    <t xml:space="preserve">Vial design 2 ml Amber glass vial with short black cap</t>
  </si>
  <si>
    <t xml:space="preserve">2 ml (0.07 oz)</t>
  </si>
  <si>
    <t xml:space="preserve">https://www.bestbottles.com/images/store/enlarged_pics/GBVAmb2BlackCap.gif</t>
  </si>
  <si>
    <t xml:space="preserve">https://www.bestbottles.com/product/Vial-design-2-ml-amber-glass-short-black-cap</t>
  </si>
  <si>
    <t xml:space="preserve">GBHeartFrst4KeyGld</t>
  </si>
  <si>
    <t xml:space="preserve">Gold Keychain</t>
  </si>
  <si>
    <t xml:space="preserve">Heart design 4 ml, Frosted glass bottle with gold key chain</t>
  </si>
  <si>
    <t xml:space="preserve">4 ml (0.14 oz)</t>
  </si>
  <si>
    <t xml:space="preserve">https://www.bestbottles.com/images/store/enlarged_pics/GBHeartFrst4KeyGld.gif</t>
  </si>
  <si>
    <t xml:space="preserve">https://www.bestbottles.com/product/Frosted-glass-small-heart-shaped-bottle-with-gold-key-chain</t>
  </si>
  <si>
    <t xml:space="preserve">Tier_1_Qty</t>
  </si>
  <si>
    <t xml:space="preserve">Tier_1_Price</t>
  </si>
  <si>
    <t xml:space="preserve">Tier_2_Qty</t>
  </si>
  <si>
    <t xml:space="preserve">Tier_2_Price</t>
  </si>
  <si>
    <t xml:space="preserve">Tier_2_Unit</t>
  </si>
  <si>
    <t xml:space="preserve">Tier_3_Qty</t>
  </si>
  <si>
    <t xml:space="preserve">Tier_3_Price</t>
  </si>
  <si>
    <t xml:space="preserve">Tier_3_Unit</t>
  </si>
  <si>
    <t xml:space="preserve">Tier_4_Qty</t>
  </si>
  <si>
    <t xml:space="preserve">Tier_4_Price</t>
  </si>
  <si>
    <t xml:space="preserve">Tier_4_Unit</t>
  </si>
  <si>
    <t xml:space="preserve">Tier_5_Qty</t>
  </si>
  <si>
    <t xml:space="preserve">Tier_5_Price</t>
  </si>
  <si>
    <t xml:space="preserve">Tier_5_Unit</t>
  </si>
  <si>
    <t xml:space="preserve">Neck_Size</t>
  </si>
  <si>
    <t xml:space="preserve">Compatible_Fitments</t>
  </si>
  <si>
    <t xml:space="preserve">Compatible_Caps</t>
  </si>
  <si>
    <t xml:space="preserve">Bottle_Types</t>
  </si>
  <si>
    <t xml:space="preserve">PlsRoll13-415, MtlRoll13-415, Sprayer13-415</t>
  </si>
  <si>
    <t xml:space="preserve">CP13-415BlkDot, CP13-415ShnGl, CP13-415ShnSl, CP13-415MttBlk, CP13-415MttSl, CP13-415ShnWht</t>
  </si>
  <si>
    <t xml:space="preserve">Cylinder 5ml Roll-On, Sleek 5ml</t>
  </si>
  <si>
    <t xml:space="preserve">PlsRoll17-415, MtlRoll17-415</t>
  </si>
  <si>
    <t xml:space="preserve">CP17-415BlkDot, CP17-415ShnGl, CP17-415ShnSl</t>
  </si>
  <si>
    <t xml:space="preserve">Cylinder 9ml Roll-On</t>
  </si>
  <si>
    <t xml:space="preserve">Drp18-415, Sprayer18-415</t>
  </si>
  <si>
    <t xml:space="preserve">CP18-415Blk, CP18-415Sl, CP18-415Gl</t>
  </si>
  <si>
    <t xml:space="preserve">Cylinder 15ml, 25ml, 50ml</t>
  </si>
  <si>
    <t xml:space="preserve">Drp20-400, Sprayer20-400</t>
  </si>
  <si>
    <t xml:space="preserve">CP20-400Blk, CP20-400Sl, CP20-400Wht</t>
  </si>
  <si>
    <t xml:space="preserve">Boston Round 1oz, 2oz</t>
  </si>
  <si>
    <t xml:space="preserve">None (Screw cap only)</t>
  </si>
  <si>
    <t xml:space="preserve">CP8-425BlkSht, CP8-425WhtSht</t>
  </si>
  <si>
    <t xml:space="preserve">Vials 2ml</t>
  </si>
  <si>
    <t xml:space="preserve">None (Decorative)</t>
  </si>
  <si>
    <t xml:space="preserve">Keychain, Tassel</t>
  </si>
  <si>
    <t xml:space="preserve">Heart, Decorative bottles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</si>
</sst>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30.01"/>
    <col collapsed="false" customWidth="true" hidden="false" outlineLevel="0" max="6" min="4" style="0" width="11.99"/>
    <col collapsed="false" customWidth="true" hidden="false" outlineLevel="0" max="8" min="7" style="0" width="15"/>
    <col collapsed="false" customWidth="true" hidden="false" outlineLevel="0" max="9" min="9" style="0" width="18"/>
    <col collapsed="false" customWidth="true" hidden="false" outlineLevel="0" max="10" min="10" style="0" width="19.99"/>
    <col collapsed="false" customWidth="true" hidden="false" outlineLevel="0" max="11" min="11" style="0" width="11.99"/>
    <col collapsed="false" customWidth="true" hidden="false" outlineLevel="0" max="13" min="12" style="0" width="10"/>
    <col collapsed="false" customWidth="true" hidden="false" outlineLevel="0" max="14" min="14" style="0" width="19.99"/>
    <col collapsed="false" customWidth="true" hidden="false" outlineLevel="0" max="15" min="15" style="0" width="18"/>
    <col collapsed="false" customWidth="true" hidden="false" outlineLevel="0" max="16" min="16" style="0" width="10"/>
    <col collapsed="false" customWidth="true" hidden="false" outlineLevel="0" max="17" min="17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n">
        <v>5</v>
      </c>
      <c r="F2" s="2" t="n">
        <v>0.17</v>
      </c>
      <c r="G2" s="2" t="s">
        <v>21</v>
      </c>
      <c r="H2" s="2" t="s">
        <v>22</v>
      </c>
      <c r="I2" s="2" t="n">
        <v>65</v>
      </c>
      <c r="J2" s="2" t="n">
        <v>53</v>
      </c>
      <c r="K2" s="2" t="n">
        <v>17</v>
      </c>
      <c r="L2" s="2"/>
      <c r="M2" s="2"/>
      <c r="N2" s="2" t="s">
        <v>23</v>
      </c>
      <c r="O2" s="2" t="s">
        <v>24</v>
      </c>
      <c r="P2" s="3" t="b">
        <f aca="false">TRUE()</f>
        <v>1</v>
      </c>
      <c r="Q2" s="2" t="s">
        <v>25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28</v>
      </c>
      <c r="D3" s="2" t="s">
        <v>20</v>
      </c>
      <c r="E3" s="2" t="n">
        <v>9</v>
      </c>
      <c r="F3" s="2" t="n">
        <v>0.3</v>
      </c>
      <c r="G3" s="2" t="s">
        <v>21</v>
      </c>
      <c r="H3" s="2" t="s">
        <v>29</v>
      </c>
      <c r="I3" s="2" t="n">
        <v>78</v>
      </c>
      <c r="J3" s="2" t="n">
        <v>65</v>
      </c>
      <c r="K3" s="2" t="n">
        <v>17</v>
      </c>
      <c r="L3" s="2"/>
      <c r="M3" s="2"/>
      <c r="N3" s="2" t="s">
        <v>23</v>
      </c>
      <c r="O3" s="2" t="s">
        <v>24</v>
      </c>
      <c r="P3" s="3" t="b">
        <f aca="false">TRUE()</f>
        <v>1</v>
      </c>
      <c r="Q3" s="2" t="s">
        <v>25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  <c r="E4" s="2" t="n">
        <v>4</v>
      </c>
      <c r="F4" s="2" t="n">
        <v>0.14</v>
      </c>
      <c r="G4" s="2" t="s">
        <v>34</v>
      </c>
      <c r="H4" s="2" t="s">
        <v>35</v>
      </c>
      <c r="I4" s="2" t="n">
        <v>53</v>
      </c>
      <c r="J4" s="2" t="n">
        <v>46</v>
      </c>
      <c r="K4" s="2"/>
      <c r="L4" s="2" t="n">
        <v>32</v>
      </c>
      <c r="M4" s="2" t="n">
        <v>12</v>
      </c>
      <c r="N4" s="2" t="s">
        <v>36</v>
      </c>
      <c r="O4" s="2" t="s">
        <v>37</v>
      </c>
      <c r="P4" s="3" t="b">
        <f aca="false">TRUE()</f>
        <v>1</v>
      </c>
      <c r="Q4" s="2" t="s">
        <v>25</v>
      </c>
    </row>
    <row r="5" customFormat="false" ht="15" hidden="false" customHeight="false" outlineLevel="0" collapsed="false">
      <c r="A5" s="2" t="s">
        <v>38</v>
      </c>
      <c r="B5" s="2" t="s">
        <v>39</v>
      </c>
      <c r="C5" s="2" t="s">
        <v>40</v>
      </c>
      <c r="D5" s="2" t="s">
        <v>41</v>
      </c>
      <c r="E5" s="2" t="n">
        <v>2</v>
      </c>
      <c r="F5" s="2" t="n">
        <v>0.07</v>
      </c>
      <c r="G5" s="2" t="s">
        <v>21</v>
      </c>
      <c r="H5" s="2" t="s">
        <v>42</v>
      </c>
      <c r="I5" s="2" t="n">
        <v>37</v>
      </c>
      <c r="J5" s="2" t="n">
        <v>35</v>
      </c>
      <c r="K5" s="2" t="n">
        <v>12</v>
      </c>
      <c r="L5" s="2"/>
      <c r="M5" s="2"/>
      <c r="N5" s="2" t="s">
        <v>43</v>
      </c>
      <c r="O5" s="2" t="s">
        <v>24</v>
      </c>
      <c r="P5" s="3" t="b">
        <f aca="false">TRUE()</f>
        <v>1</v>
      </c>
      <c r="Q5" s="2" t="s">
        <v>25</v>
      </c>
    </row>
    <row r="6" customFormat="false" ht="15" hidden="false" customHeight="false" outlineLevel="0" collapsed="false">
      <c r="A6" s="2" t="s">
        <v>44</v>
      </c>
      <c r="B6" s="2" t="s">
        <v>45</v>
      </c>
      <c r="C6" s="2" t="s">
        <v>46</v>
      </c>
      <c r="D6" s="2" t="s">
        <v>47</v>
      </c>
      <c r="E6" s="2" t="n">
        <v>60</v>
      </c>
      <c r="F6" s="2" t="n">
        <v>2</v>
      </c>
      <c r="G6" s="2" t="s">
        <v>21</v>
      </c>
      <c r="H6" s="2" t="s">
        <v>48</v>
      </c>
      <c r="I6" s="2" t="n">
        <v>95</v>
      </c>
      <c r="J6" s="2" t="n">
        <v>85</v>
      </c>
      <c r="K6" s="2" t="n">
        <v>35</v>
      </c>
      <c r="L6" s="2"/>
      <c r="M6" s="2"/>
      <c r="N6" s="2" t="s">
        <v>49</v>
      </c>
      <c r="O6" s="2" t="s">
        <v>24</v>
      </c>
      <c r="P6" s="3" t="b">
        <f aca="false">TRUE()</f>
        <v>1</v>
      </c>
      <c r="Q6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5"/>
    <col collapsed="false" customWidth="true" hidden="false" outlineLevel="0" max="3" min="3" style="0" width="11.99"/>
    <col collapsed="false" customWidth="true" hidden="false" outlineLevel="0" max="4" min="4" style="0" width="15"/>
    <col collapsed="false" customWidth="true" hidden="false" outlineLevel="0" max="5" min="5" style="0" width="11.99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50</v>
      </c>
      <c r="B1" s="1" t="s">
        <v>0</v>
      </c>
      <c r="C1" s="1" t="s">
        <v>51</v>
      </c>
      <c r="D1" s="1" t="s">
        <v>52</v>
      </c>
      <c r="E1" s="1" t="s">
        <v>53</v>
      </c>
      <c r="F1" s="1" t="s">
        <v>15</v>
      </c>
    </row>
    <row r="2" customFormat="false" ht="15" hidden="false" customHeight="false" outlineLevel="0" collapsed="false">
      <c r="A2" s="2" t="s">
        <v>54</v>
      </c>
      <c r="B2" s="4" t="s">
        <v>17</v>
      </c>
      <c r="C2" s="2" t="s">
        <v>55</v>
      </c>
      <c r="D2" s="2" t="s">
        <v>56</v>
      </c>
      <c r="E2" s="2" t="n">
        <v>0.6</v>
      </c>
      <c r="F2" s="3" t="b">
        <f aca="false">TRUE()</f>
        <v>1</v>
      </c>
    </row>
    <row r="3" customFormat="false" ht="15" hidden="false" customHeight="false" outlineLevel="0" collapsed="false">
      <c r="A3" s="2" t="s">
        <v>57</v>
      </c>
      <c r="B3" s="4" t="s">
        <v>17</v>
      </c>
      <c r="C3" s="2" t="s">
        <v>58</v>
      </c>
      <c r="D3" s="2" t="s">
        <v>59</v>
      </c>
      <c r="E3" s="2" t="n">
        <v>0.65</v>
      </c>
      <c r="F3" s="3" t="b">
        <f aca="false">TRUE()</f>
        <v>1</v>
      </c>
    </row>
    <row r="4" customFormat="false" ht="15" hidden="false" customHeight="false" outlineLevel="0" collapsed="false">
      <c r="A4" s="2" t="s">
        <v>60</v>
      </c>
      <c r="B4" s="4" t="s">
        <v>17</v>
      </c>
      <c r="C4" s="2" t="s">
        <v>61</v>
      </c>
      <c r="D4" s="2" t="s">
        <v>62</v>
      </c>
      <c r="E4" s="2" t="n">
        <v>0.71</v>
      </c>
      <c r="F4" s="3" t="b">
        <f aca="false">TRUE()</f>
        <v>1</v>
      </c>
    </row>
    <row r="5" customFormat="false" ht="15" hidden="false" customHeight="false" outlineLevel="0" collapsed="false">
      <c r="A5" s="2" t="s">
        <v>63</v>
      </c>
      <c r="B5" s="4" t="s">
        <v>17</v>
      </c>
      <c r="C5" s="2" t="s">
        <v>64</v>
      </c>
      <c r="D5" s="2" t="s">
        <v>34</v>
      </c>
      <c r="E5" s="2" t="n">
        <v>0.68</v>
      </c>
      <c r="F5" s="3" t="b">
        <f aca="false">TRUE()</f>
        <v>1</v>
      </c>
    </row>
    <row r="6" customFormat="false" ht="15" hidden="false" customHeight="false" outlineLevel="0" collapsed="false">
      <c r="A6" s="2" t="s">
        <v>65</v>
      </c>
      <c r="B6" s="4" t="s">
        <v>26</v>
      </c>
      <c r="C6" s="2" t="s">
        <v>55</v>
      </c>
      <c r="D6" s="2" t="s">
        <v>56</v>
      </c>
      <c r="E6" s="2" t="n">
        <v>0.75</v>
      </c>
      <c r="F6" s="3" t="b">
        <f aca="false">TRUE()</f>
        <v>1</v>
      </c>
    </row>
    <row r="7" customFormat="false" ht="15" hidden="false" customHeight="false" outlineLevel="0" collapsed="false">
      <c r="A7" s="2" t="s">
        <v>66</v>
      </c>
      <c r="B7" s="4" t="s">
        <v>26</v>
      </c>
      <c r="C7" s="2" t="s">
        <v>58</v>
      </c>
      <c r="D7" s="2" t="s">
        <v>59</v>
      </c>
      <c r="E7" s="2" t="n">
        <v>0.8</v>
      </c>
      <c r="F7" s="3" t="b">
        <f aca="false">TRUE()</f>
        <v>1</v>
      </c>
    </row>
    <row r="8" customFormat="false" ht="15" hidden="false" customHeight="false" outlineLevel="0" collapsed="false">
      <c r="A8" s="2" t="s">
        <v>67</v>
      </c>
      <c r="B8" s="4" t="s">
        <v>26</v>
      </c>
      <c r="C8" s="2" t="s">
        <v>61</v>
      </c>
      <c r="D8" s="2" t="s">
        <v>62</v>
      </c>
      <c r="E8" s="2" t="n">
        <v>0.85</v>
      </c>
      <c r="F8" s="3" t="b">
        <f aca="false">TRUE()</f>
        <v>1</v>
      </c>
    </row>
    <row r="9" customFormat="false" ht="15" hidden="false" customHeight="false" outlineLevel="0" collapsed="false">
      <c r="A9" s="2" t="s">
        <v>68</v>
      </c>
      <c r="B9" s="4" t="s">
        <v>38</v>
      </c>
      <c r="C9" s="2" t="s">
        <v>58</v>
      </c>
      <c r="D9" s="2" t="s">
        <v>59</v>
      </c>
      <c r="E9" s="2" t="n">
        <v>0.38</v>
      </c>
      <c r="F9" s="3" t="b">
        <f aca="false">TRUE()</f>
        <v>1</v>
      </c>
    </row>
    <row r="10" customFormat="false" ht="15" hidden="false" customHeight="false" outlineLevel="0" collapsed="false">
      <c r="A10" s="2" t="s">
        <v>69</v>
      </c>
      <c r="B10" s="4" t="s">
        <v>38</v>
      </c>
      <c r="C10" s="2" t="s">
        <v>55</v>
      </c>
      <c r="D10" s="2" t="s">
        <v>56</v>
      </c>
      <c r="E10" s="2" t="n">
        <v>0.35</v>
      </c>
      <c r="F10" s="3" t="b">
        <f aca="false">TRUE()</f>
        <v>1</v>
      </c>
    </row>
    <row r="11" customFormat="false" ht="15" hidden="false" customHeight="false" outlineLevel="0" collapsed="false">
      <c r="A11" s="2" t="s">
        <v>70</v>
      </c>
      <c r="B11" s="4" t="s">
        <v>38</v>
      </c>
      <c r="C11" s="2" t="s">
        <v>61</v>
      </c>
      <c r="D11" s="2" t="s">
        <v>62</v>
      </c>
      <c r="E11" s="2" t="n">
        <v>0.42</v>
      </c>
      <c r="F11" s="3" t="b">
        <f aca="false">TRUE()</f>
        <v>1</v>
      </c>
    </row>
    <row r="12" customFormat="false" ht="15" hidden="false" customHeight="false" outlineLevel="0" collapsed="false">
      <c r="A12" s="2" t="s">
        <v>71</v>
      </c>
      <c r="B12" s="4" t="s">
        <v>30</v>
      </c>
      <c r="C12" s="2" t="s">
        <v>64</v>
      </c>
      <c r="D12" s="2" t="s">
        <v>34</v>
      </c>
      <c r="E12" s="2" t="n">
        <v>2.5</v>
      </c>
      <c r="F12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9.99"/>
    <col collapsed="false" customWidth="true" hidden="false" outlineLevel="0" max="3" min="3" style="0" width="15"/>
    <col collapsed="false" customWidth="true" hidden="false" outlineLevel="0" max="4" min="4" style="0" width="19.99"/>
    <col collapsed="false" customWidth="true" hidden="false" outlineLevel="0" max="5" min="5" style="0" width="11.99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customFormat="false" ht="15" hidden="false" customHeight="false" outlineLevel="0" collapsed="false">
      <c r="A2" s="2" t="s">
        <v>78</v>
      </c>
      <c r="B2" s="2" t="s">
        <v>79</v>
      </c>
      <c r="C2" s="2" t="s">
        <v>80</v>
      </c>
      <c r="D2" s="2" t="s">
        <v>22</v>
      </c>
      <c r="E2" s="2" t="n">
        <v>0</v>
      </c>
      <c r="F2" s="2" t="s">
        <v>81</v>
      </c>
    </row>
    <row r="3" customFormat="false" ht="15" hidden="false" customHeight="false" outlineLevel="0" collapsed="false">
      <c r="A3" s="2" t="s">
        <v>82</v>
      </c>
      <c r="B3" s="2" t="s">
        <v>83</v>
      </c>
      <c r="C3" s="2" t="s">
        <v>84</v>
      </c>
      <c r="D3" s="2" t="s">
        <v>22</v>
      </c>
      <c r="E3" s="2" t="n">
        <v>0.15</v>
      </c>
      <c r="F3" s="2" t="s">
        <v>85</v>
      </c>
    </row>
    <row r="4" customFormat="false" ht="15" hidden="false" customHeight="false" outlineLevel="0" collapsed="false">
      <c r="A4" s="2" t="s">
        <v>86</v>
      </c>
      <c r="B4" s="2" t="s">
        <v>79</v>
      </c>
      <c r="C4" s="2" t="s">
        <v>80</v>
      </c>
      <c r="D4" s="2" t="s">
        <v>29</v>
      </c>
      <c r="E4" s="2" t="n">
        <v>0</v>
      </c>
      <c r="F4" s="2" t="s">
        <v>81</v>
      </c>
    </row>
    <row r="5" customFormat="false" ht="15" hidden="false" customHeight="false" outlineLevel="0" collapsed="false">
      <c r="A5" s="2" t="s">
        <v>87</v>
      </c>
      <c r="B5" s="2" t="s">
        <v>83</v>
      </c>
      <c r="C5" s="2" t="s">
        <v>84</v>
      </c>
      <c r="D5" s="2" t="s">
        <v>29</v>
      </c>
      <c r="E5" s="2" t="n">
        <v>0.18</v>
      </c>
      <c r="F5" s="2" t="s">
        <v>85</v>
      </c>
    </row>
    <row r="6" customFormat="false" ht="15" hidden="false" customHeight="false" outlineLevel="0" collapsed="false">
      <c r="A6" s="2" t="s">
        <v>88</v>
      </c>
      <c r="B6" s="2" t="s">
        <v>89</v>
      </c>
      <c r="C6" s="2" t="s">
        <v>21</v>
      </c>
      <c r="D6" s="2" t="s">
        <v>90</v>
      </c>
      <c r="E6" s="2" t="n">
        <v>0.25</v>
      </c>
      <c r="F6" s="2" t="s">
        <v>91</v>
      </c>
    </row>
    <row r="7" customFormat="false" ht="15" hidden="false" customHeight="false" outlineLevel="0" collapsed="false">
      <c r="A7" s="2" t="s">
        <v>92</v>
      </c>
      <c r="B7" s="2" t="s">
        <v>89</v>
      </c>
      <c r="C7" s="2" t="s">
        <v>21</v>
      </c>
      <c r="D7" s="2" t="s">
        <v>48</v>
      </c>
      <c r="E7" s="2" t="n">
        <v>0.28</v>
      </c>
      <c r="F7" s="2" t="s">
        <v>91</v>
      </c>
    </row>
    <row r="8" customFormat="false" ht="15" hidden="false" customHeight="false" outlineLevel="0" collapsed="false">
      <c r="A8" s="2" t="s">
        <v>93</v>
      </c>
      <c r="B8" s="2" t="s">
        <v>94</v>
      </c>
      <c r="C8" s="2" t="s">
        <v>80</v>
      </c>
      <c r="D8" s="2" t="s">
        <v>95</v>
      </c>
      <c r="E8" s="2" t="n">
        <v>0.35</v>
      </c>
      <c r="F8" s="2" t="s">
        <v>96</v>
      </c>
    </row>
    <row r="9" customFormat="false" ht="15" hidden="false" customHeight="false" outlineLevel="0" collapsed="false">
      <c r="A9" s="2" t="s">
        <v>97</v>
      </c>
      <c r="B9" s="2" t="s">
        <v>94</v>
      </c>
      <c r="C9" s="2" t="s">
        <v>80</v>
      </c>
      <c r="D9" s="2" t="s">
        <v>48</v>
      </c>
      <c r="E9" s="2" t="n">
        <v>0.38</v>
      </c>
      <c r="F9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.99"/>
    <col collapsed="false" customWidth="true" hidden="false" outlineLevel="0" max="3" min="3" style="0" width="15"/>
    <col collapsed="false" customWidth="true" hidden="false" outlineLevel="0" max="4" min="4" style="0" width="11.99"/>
    <col collapsed="false" customWidth="true" hidden="false" outlineLevel="0" max="5" min="5" style="0" width="19.99"/>
    <col collapsed="false" customWidth="true" hidden="false" outlineLevel="0" max="6" min="6" style="0" width="11.99"/>
    <col collapsed="false" customWidth="true" hidden="false" outlineLevel="0" max="7" min="7" style="0" width="35"/>
  </cols>
  <sheetData>
    <row r="1" customFormat="false" ht="15" hidden="false" customHeight="false" outlineLevel="0" collapsed="false">
      <c r="A1" s="1" t="s">
        <v>98</v>
      </c>
      <c r="B1" s="1" t="s">
        <v>99</v>
      </c>
      <c r="C1" s="1" t="s">
        <v>100</v>
      </c>
      <c r="D1" s="1" t="s">
        <v>101</v>
      </c>
      <c r="E1" s="1" t="s">
        <v>75</v>
      </c>
      <c r="F1" s="1" t="s">
        <v>102</v>
      </c>
      <c r="G1" s="1" t="s">
        <v>77</v>
      </c>
    </row>
    <row r="2" customFormat="false" ht="15" hidden="false" customHeight="false" outlineLevel="0" collapsed="false">
      <c r="A2" s="2" t="s">
        <v>103</v>
      </c>
      <c r="B2" s="2" t="s">
        <v>104</v>
      </c>
      <c r="C2" s="2" t="s">
        <v>105</v>
      </c>
      <c r="D2" s="2" t="s">
        <v>80</v>
      </c>
      <c r="E2" s="2" t="s">
        <v>22</v>
      </c>
      <c r="F2" s="2" t="n">
        <v>0.12</v>
      </c>
      <c r="G2" s="2" t="s">
        <v>106</v>
      </c>
    </row>
    <row r="3" customFormat="false" ht="15" hidden="false" customHeight="false" outlineLevel="0" collapsed="false">
      <c r="A3" s="2" t="s">
        <v>107</v>
      </c>
      <c r="B3" s="2" t="s">
        <v>108</v>
      </c>
      <c r="C3" s="2" t="s">
        <v>109</v>
      </c>
      <c r="D3" s="2" t="s">
        <v>80</v>
      </c>
      <c r="E3" s="2" t="s">
        <v>22</v>
      </c>
      <c r="F3" s="2" t="n">
        <v>0.15</v>
      </c>
      <c r="G3" s="2" t="s">
        <v>110</v>
      </c>
    </row>
    <row r="4" customFormat="false" ht="15" hidden="false" customHeight="false" outlineLevel="0" collapsed="false">
      <c r="A4" s="2" t="s">
        <v>111</v>
      </c>
      <c r="B4" s="2" t="s">
        <v>112</v>
      </c>
      <c r="C4" s="2" t="s">
        <v>109</v>
      </c>
      <c r="D4" s="2" t="s">
        <v>80</v>
      </c>
      <c r="E4" s="2" t="s">
        <v>22</v>
      </c>
      <c r="F4" s="2" t="n">
        <v>0.14</v>
      </c>
      <c r="G4" s="2" t="s">
        <v>113</v>
      </c>
    </row>
    <row r="5" customFormat="false" ht="15" hidden="false" customHeight="false" outlineLevel="0" collapsed="false">
      <c r="A5" s="2" t="s">
        <v>114</v>
      </c>
      <c r="B5" s="2" t="s">
        <v>104</v>
      </c>
      <c r="C5" s="2" t="s">
        <v>115</v>
      </c>
      <c r="D5" s="2" t="s">
        <v>80</v>
      </c>
      <c r="E5" s="2" t="s">
        <v>22</v>
      </c>
      <c r="F5" s="2" t="n">
        <v>0.13</v>
      </c>
      <c r="G5" s="2" t="s">
        <v>116</v>
      </c>
    </row>
    <row r="6" customFormat="false" ht="15" hidden="false" customHeight="false" outlineLevel="0" collapsed="false">
      <c r="A6" s="2" t="s">
        <v>117</v>
      </c>
      <c r="B6" s="2" t="s">
        <v>112</v>
      </c>
      <c r="C6" s="2" t="s">
        <v>115</v>
      </c>
      <c r="D6" s="2" t="s">
        <v>80</v>
      </c>
      <c r="E6" s="2" t="s">
        <v>22</v>
      </c>
      <c r="F6" s="2" t="n">
        <v>0.14</v>
      </c>
      <c r="G6" s="2" t="s">
        <v>118</v>
      </c>
    </row>
    <row r="7" customFormat="false" ht="15" hidden="false" customHeight="false" outlineLevel="0" collapsed="false">
      <c r="A7" s="2" t="s">
        <v>119</v>
      </c>
      <c r="B7" s="2" t="s">
        <v>120</v>
      </c>
      <c r="C7" s="2" t="s">
        <v>109</v>
      </c>
      <c r="D7" s="2" t="s">
        <v>80</v>
      </c>
      <c r="E7" s="2" t="s">
        <v>22</v>
      </c>
      <c r="F7" s="2" t="n">
        <v>0.11</v>
      </c>
      <c r="G7" s="2" t="s">
        <v>121</v>
      </c>
    </row>
    <row r="8" customFormat="false" ht="15" hidden="false" customHeight="false" outlineLevel="0" collapsed="false">
      <c r="A8" s="2" t="s">
        <v>122</v>
      </c>
      <c r="B8" s="2" t="s">
        <v>123</v>
      </c>
      <c r="C8" s="2" t="s">
        <v>109</v>
      </c>
      <c r="D8" s="2" t="s">
        <v>80</v>
      </c>
      <c r="E8" s="2" t="s">
        <v>22</v>
      </c>
      <c r="F8" s="2" t="n">
        <v>0.16</v>
      </c>
      <c r="G8" s="2" t="s">
        <v>124</v>
      </c>
    </row>
    <row r="9" customFormat="false" ht="15" hidden="false" customHeight="false" outlineLevel="0" collapsed="false">
      <c r="A9" s="2" t="s">
        <v>125</v>
      </c>
      <c r="B9" s="2" t="s">
        <v>104</v>
      </c>
      <c r="C9" s="2" t="s">
        <v>105</v>
      </c>
      <c r="D9" s="2" t="s">
        <v>80</v>
      </c>
      <c r="E9" s="2" t="s">
        <v>29</v>
      </c>
      <c r="F9" s="2" t="n">
        <v>0.14</v>
      </c>
      <c r="G9" s="2" t="s">
        <v>106</v>
      </c>
    </row>
    <row r="10" customFormat="false" ht="15" hidden="false" customHeight="false" outlineLevel="0" collapsed="false">
      <c r="A10" s="2" t="s">
        <v>126</v>
      </c>
      <c r="B10" s="2" t="s">
        <v>108</v>
      </c>
      <c r="C10" s="2" t="s">
        <v>109</v>
      </c>
      <c r="D10" s="2" t="s">
        <v>80</v>
      </c>
      <c r="E10" s="2" t="s">
        <v>29</v>
      </c>
      <c r="F10" s="2" t="n">
        <v>0.17</v>
      </c>
      <c r="G10" s="2" t="s">
        <v>110</v>
      </c>
    </row>
    <row r="11" customFormat="false" ht="15" hidden="false" customHeight="false" outlineLevel="0" collapsed="false">
      <c r="A11" s="2" t="s">
        <v>127</v>
      </c>
      <c r="B11" s="2" t="s">
        <v>112</v>
      </c>
      <c r="C11" s="2" t="s">
        <v>109</v>
      </c>
      <c r="D11" s="2" t="s">
        <v>80</v>
      </c>
      <c r="E11" s="2" t="s">
        <v>29</v>
      </c>
      <c r="F11" s="2" t="n">
        <v>0.16</v>
      </c>
      <c r="G11" s="2" t="s">
        <v>113</v>
      </c>
    </row>
    <row r="12" customFormat="false" ht="15" hidden="false" customHeight="false" outlineLevel="0" collapsed="false">
      <c r="A12" s="2" t="s">
        <v>128</v>
      </c>
      <c r="B12" s="2" t="s">
        <v>104</v>
      </c>
      <c r="C12" s="2" t="s">
        <v>129</v>
      </c>
      <c r="D12" s="2" t="s">
        <v>80</v>
      </c>
      <c r="E12" s="2" t="s">
        <v>42</v>
      </c>
      <c r="F12" s="2" t="n">
        <v>0.08</v>
      </c>
      <c r="G12" s="2" t="s">
        <v>130</v>
      </c>
    </row>
    <row r="13" customFormat="false" ht="15" hidden="false" customHeight="false" outlineLevel="0" collapsed="false">
      <c r="A13" s="2" t="s">
        <v>131</v>
      </c>
      <c r="B13" s="2" t="s">
        <v>120</v>
      </c>
      <c r="C13" s="2" t="s">
        <v>129</v>
      </c>
      <c r="D13" s="2" t="s">
        <v>80</v>
      </c>
      <c r="E13" s="2" t="s">
        <v>42</v>
      </c>
      <c r="F13" s="2" t="n">
        <v>0.08</v>
      </c>
      <c r="G13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15"/>
    <col collapsed="false" customWidth="true" hidden="false" outlineLevel="0" max="3" min="3" style="0" width="11.99"/>
    <col collapsed="false" customWidth="true" hidden="false" outlineLevel="0" max="5" min="4" style="0" width="15"/>
    <col collapsed="false" customWidth="true" hidden="false" outlineLevel="0" max="6" min="6" style="0" width="60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14" min="9" style="0" width="10"/>
    <col collapsed="false" customWidth="true" hidden="false" outlineLevel="0" max="15" min="15" style="0" width="50"/>
    <col collapsed="false" customWidth="true" hidden="false" outlineLevel="0" max="16" min="16" style="0" width="70"/>
  </cols>
  <sheetData>
    <row r="1" customFormat="false" ht="15" hidden="false" customHeight="false" outlineLevel="0" collapsed="false">
      <c r="A1" s="1" t="s">
        <v>133</v>
      </c>
      <c r="B1" s="1" t="s">
        <v>0</v>
      </c>
      <c r="C1" s="1" t="s">
        <v>51</v>
      </c>
      <c r="D1" s="1" t="s">
        <v>73</v>
      </c>
      <c r="E1" s="1" t="s">
        <v>99</v>
      </c>
      <c r="F1" s="1" t="s">
        <v>77</v>
      </c>
      <c r="G1" s="1" t="s">
        <v>13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15</v>
      </c>
      <c r="O1" s="1" t="s">
        <v>140</v>
      </c>
      <c r="P1" s="1" t="s">
        <v>141</v>
      </c>
    </row>
    <row r="2" customFormat="false" ht="15" hidden="false" customHeight="false" outlineLevel="0" collapsed="false">
      <c r="A2" s="2" t="s">
        <v>142</v>
      </c>
      <c r="B2" s="2" t="s">
        <v>17</v>
      </c>
      <c r="C2" s="2" t="s">
        <v>55</v>
      </c>
      <c r="D2" s="2" t="s">
        <v>143</v>
      </c>
      <c r="E2" s="2" t="s">
        <v>144</v>
      </c>
      <c r="F2" s="2" t="s">
        <v>145</v>
      </c>
      <c r="G2" s="2" t="s">
        <v>23</v>
      </c>
      <c r="H2" s="2" t="s">
        <v>146</v>
      </c>
      <c r="I2" s="2" t="n">
        <v>0.6</v>
      </c>
      <c r="J2" s="2" t="n">
        <v>0.57</v>
      </c>
      <c r="K2" s="2" t="n">
        <v>0.54</v>
      </c>
      <c r="L2" s="2" t="n">
        <v>0.47</v>
      </c>
      <c r="M2" s="2" t="n">
        <v>4320</v>
      </c>
      <c r="N2" s="3" t="b">
        <f aca="false">TRUE()</f>
        <v>1</v>
      </c>
      <c r="O2" s="2" t="s">
        <v>147</v>
      </c>
      <c r="P2" s="2" t="s">
        <v>148</v>
      </c>
    </row>
    <row r="3" customFormat="false" ht="15" hidden="false" customHeight="false" outlineLevel="0" collapsed="false">
      <c r="A3" s="2" t="s">
        <v>149</v>
      </c>
      <c r="B3" s="2" t="s">
        <v>17</v>
      </c>
      <c r="C3" s="2" t="s">
        <v>61</v>
      </c>
      <c r="D3" s="2" t="s">
        <v>143</v>
      </c>
      <c r="E3" s="2" t="s">
        <v>144</v>
      </c>
      <c r="F3" s="2" t="s">
        <v>150</v>
      </c>
      <c r="G3" s="2" t="s">
        <v>23</v>
      </c>
      <c r="H3" s="2" t="s">
        <v>146</v>
      </c>
      <c r="I3" s="2" t="n">
        <v>0.71</v>
      </c>
      <c r="J3" s="2" t="n">
        <v>0.67</v>
      </c>
      <c r="K3" s="2" t="n">
        <v>0.64</v>
      </c>
      <c r="L3" s="2" t="n">
        <v>0.56</v>
      </c>
      <c r="M3" s="2" t="n">
        <v>4320</v>
      </c>
      <c r="N3" s="3" t="b">
        <f aca="false">TRUE()</f>
        <v>1</v>
      </c>
      <c r="O3" s="2" t="s">
        <v>151</v>
      </c>
      <c r="P3" s="2" t="s">
        <v>152</v>
      </c>
    </row>
    <row r="4" customFormat="false" ht="15" hidden="false" customHeight="false" outlineLevel="0" collapsed="false">
      <c r="A4" s="2" t="s">
        <v>153</v>
      </c>
      <c r="B4" s="2" t="s">
        <v>38</v>
      </c>
      <c r="C4" s="2" t="s">
        <v>58</v>
      </c>
      <c r="D4" s="2" t="s">
        <v>154</v>
      </c>
      <c r="E4" s="2" t="s">
        <v>155</v>
      </c>
      <c r="F4" s="2" t="s">
        <v>156</v>
      </c>
      <c r="G4" s="2" t="s">
        <v>43</v>
      </c>
      <c r="H4" s="2" t="s">
        <v>157</v>
      </c>
      <c r="I4" s="2" t="n">
        <v>0.38</v>
      </c>
      <c r="J4" s="2" t="n">
        <v>0.36</v>
      </c>
      <c r="K4" s="2" t="n">
        <v>0.34</v>
      </c>
      <c r="L4" s="2" t="n">
        <v>0.3</v>
      </c>
      <c r="M4" s="2" t="n">
        <v>2880</v>
      </c>
      <c r="N4" s="3" t="b">
        <f aca="false">TRUE()</f>
        <v>1</v>
      </c>
      <c r="O4" s="2" t="s">
        <v>158</v>
      </c>
      <c r="P4" s="2" t="s">
        <v>159</v>
      </c>
    </row>
    <row r="5" customFormat="false" ht="15" hidden="false" customHeight="false" outlineLevel="0" collapsed="false">
      <c r="A5" s="2" t="s">
        <v>160</v>
      </c>
      <c r="B5" s="2" t="s">
        <v>30</v>
      </c>
      <c r="C5" s="2" t="s">
        <v>64</v>
      </c>
      <c r="D5" s="2" t="s">
        <v>154</v>
      </c>
      <c r="E5" s="2" t="s">
        <v>161</v>
      </c>
      <c r="F5" s="2" t="s">
        <v>162</v>
      </c>
      <c r="G5" s="2" t="s">
        <v>36</v>
      </c>
      <c r="H5" s="2" t="s">
        <v>163</v>
      </c>
      <c r="I5" s="2" t="n">
        <v>2.95</v>
      </c>
      <c r="J5" s="2" t="n">
        <v>2.8</v>
      </c>
      <c r="K5" s="2" t="n">
        <v>2.66</v>
      </c>
      <c r="L5" s="2" t="n">
        <v>2.3</v>
      </c>
      <c r="M5" s="2" t="n">
        <v>2500</v>
      </c>
      <c r="N5" s="3" t="b">
        <f aca="false">FALSE()</f>
        <v>0</v>
      </c>
      <c r="O5" s="2" t="s">
        <v>164</v>
      </c>
      <c r="P5" s="2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10"/>
    <col collapsed="false" customWidth="true" hidden="false" outlineLevel="0" max="3" min="3" style="0" width="11.99"/>
    <col collapsed="false" customWidth="true" hidden="false" outlineLevel="0" max="4" min="4" style="0" width="10"/>
    <col collapsed="false" customWidth="true" hidden="false" outlineLevel="0" max="6" min="5" style="0" width="11.99"/>
    <col collapsed="false" customWidth="true" hidden="false" outlineLevel="0" max="7" min="7" style="0" width="10"/>
    <col collapsed="false" customWidth="true" hidden="false" outlineLevel="0" max="9" min="8" style="0" width="11.99"/>
    <col collapsed="false" customWidth="true" hidden="false" outlineLevel="0" max="10" min="10" style="0" width="10"/>
    <col collapsed="false" customWidth="true" hidden="false" outlineLevel="0" max="12" min="11" style="0" width="11.99"/>
    <col collapsed="false" customWidth="true" hidden="false" outlineLevel="0" max="13" min="13" style="0" width="10"/>
    <col collapsed="false" customWidth="true" hidden="false" outlineLevel="0" max="15" min="14" style="0" width="11.99"/>
  </cols>
  <sheetData>
    <row r="1" customFormat="false" ht="15" hidden="false" customHeight="false" outlineLevel="0" collapsed="false">
      <c r="A1" s="1" t="s">
        <v>133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</row>
    <row r="2" customFormat="false" ht="15" hidden="false" customHeight="false" outlineLevel="0" collapsed="false">
      <c r="A2" s="2" t="s">
        <v>142</v>
      </c>
      <c r="B2" s="2" t="n">
        <v>1</v>
      </c>
      <c r="C2" s="2" t="n">
        <v>0.6</v>
      </c>
      <c r="D2" s="2" t="n">
        <v>12</v>
      </c>
      <c r="E2" s="2" t="n">
        <v>6.84</v>
      </c>
      <c r="F2" s="2" t="n">
        <v>0.57</v>
      </c>
      <c r="G2" s="2" t="n">
        <v>144</v>
      </c>
      <c r="H2" s="2" t="n">
        <v>77.76</v>
      </c>
      <c r="I2" s="2" t="n">
        <v>0.54</v>
      </c>
      <c r="J2" s="2" t="n">
        <v>864</v>
      </c>
      <c r="K2" s="2" t="n">
        <v>440.64</v>
      </c>
      <c r="L2" s="2" t="n">
        <v>0.51</v>
      </c>
      <c r="M2" s="2" t="n">
        <v>4320</v>
      </c>
      <c r="N2" s="2" t="n">
        <v>2021.76</v>
      </c>
      <c r="O2" s="2" t="n">
        <v>0.47</v>
      </c>
    </row>
    <row r="3" customFormat="false" ht="15" hidden="false" customHeight="false" outlineLevel="0" collapsed="false">
      <c r="A3" s="2" t="s">
        <v>149</v>
      </c>
      <c r="B3" s="2" t="n">
        <v>1</v>
      </c>
      <c r="C3" s="2" t="n">
        <v>0.71</v>
      </c>
      <c r="D3" s="2" t="n">
        <v>12</v>
      </c>
      <c r="E3" s="2" t="n">
        <v>8.09</v>
      </c>
      <c r="F3" s="2" t="n">
        <v>0.67</v>
      </c>
      <c r="G3" s="2" t="n">
        <v>144</v>
      </c>
      <c r="H3" s="2" t="n">
        <v>92.02</v>
      </c>
      <c r="I3" s="2" t="n">
        <v>0.64</v>
      </c>
      <c r="J3" s="2" t="n">
        <v>864</v>
      </c>
      <c r="K3" s="2" t="n">
        <v>524.3</v>
      </c>
      <c r="L3" s="2" t="n">
        <v>0.61</v>
      </c>
      <c r="M3" s="2" t="n">
        <v>4320</v>
      </c>
      <c r="N3" s="2" t="n">
        <v>2419.2</v>
      </c>
      <c r="O3" s="2" t="n">
        <v>0.56</v>
      </c>
    </row>
    <row r="4" customFormat="false" ht="15" hidden="false" customHeight="false" outlineLevel="0" collapsed="false">
      <c r="A4" s="2" t="s">
        <v>153</v>
      </c>
      <c r="B4" s="2" t="n">
        <v>1</v>
      </c>
      <c r="C4" s="2" t="n">
        <v>0.38</v>
      </c>
      <c r="D4" s="2" t="n">
        <v>12</v>
      </c>
      <c r="E4" s="2" t="n">
        <v>4.33</v>
      </c>
      <c r="F4" s="2" t="n">
        <v>0.36</v>
      </c>
      <c r="G4" s="2" t="n">
        <v>144</v>
      </c>
      <c r="H4" s="2" t="n">
        <v>49.25</v>
      </c>
      <c r="I4" s="2" t="n">
        <v>0.34</v>
      </c>
      <c r="J4" s="2" t="n">
        <v>576</v>
      </c>
      <c r="K4" s="2" t="n">
        <v>186.05</v>
      </c>
      <c r="L4" s="2" t="n">
        <v>0.32</v>
      </c>
      <c r="M4" s="2" t="n">
        <v>2880</v>
      </c>
      <c r="N4" s="2" t="n">
        <v>853.63</v>
      </c>
      <c r="O4" s="2" t="n">
        <v>0.3</v>
      </c>
    </row>
    <row r="5" customFormat="false" ht="15" hidden="false" customHeight="false" outlineLevel="0" collapsed="false">
      <c r="A5" s="2" t="s">
        <v>160</v>
      </c>
      <c r="B5" s="2" t="n">
        <v>1</v>
      </c>
      <c r="C5" s="2" t="n">
        <v>2.95</v>
      </c>
      <c r="D5" s="2" t="n">
        <v>12</v>
      </c>
      <c r="E5" s="2" t="n">
        <v>33.63</v>
      </c>
      <c r="F5" s="2" t="n">
        <v>2.8</v>
      </c>
      <c r="G5" s="2" t="n">
        <v>144</v>
      </c>
      <c r="H5" s="2" t="n">
        <v>382.32</v>
      </c>
      <c r="I5" s="2" t="n">
        <v>2.66</v>
      </c>
      <c r="J5" s="2" t="n">
        <v>500</v>
      </c>
      <c r="K5" s="2" t="n">
        <v>1253.75</v>
      </c>
      <c r="L5" s="2" t="n">
        <v>2.51</v>
      </c>
      <c r="M5" s="2" t="n">
        <v>2500</v>
      </c>
      <c r="N5" s="2" t="n">
        <v>5752.5</v>
      </c>
      <c r="O5" s="2" t="n">
        <v>2.3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44.99"/>
    <col collapsed="false" customWidth="true" hidden="false" outlineLevel="0" max="3" min="3" style="0" width="7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180</v>
      </c>
      <c r="B1" s="1" t="s">
        <v>181</v>
      </c>
      <c r="C1" s="1" t="s">
        <v>182</v>
      </c>
      <c r="D1" s="1" t="s">
        <v>183</v>
      </c>
    </row>
    <row r="2" customFormat="false" ht="15" hidden="false" customHeight="false" outlineLevel="0" collapsed="false">
      <c r="A2" s="2" t="s">
        <v>22</v>
      </c>
      <c r="B2" s="2" t="s">
        <v>184</v>
      </c>
      <c r="C2" s="2" t="s">
        <v>185</v>
      </c>
      <c r="D2" s="2" t="s">
        <v>186</v>
      </c>
    </row>
    <row r="3" customFormat="false" ht="15" hidden="false" customHeight="false" outlineLevel="0" collapsed="false">
      <c r="A3" s="2" t="s">
        <v>29</v>
      </c>
      <c r="B3" s="2" t="s">
        <v>187</v>
      </c>
      <c r="C3" s="2" t="s">
        <v>188</v>
      </c>
      <c r="D3" s="2" t="s">
        <v>189</v>
      </c>
    </row>
    <row r="4" customFormat="false" ht="15" hidden="false" customHeight="false" outlineLevel="0" collapsed="false">
      <c r="A4" s="2" t="s">
        <v>95</v>
      </c>
      <c r="B4" s="2" t="s">
        <v>190</v>
      </c>
      <c r="C4" s="2" t="s">
        <v>191</v>
      </c>
      <c r="D4" s="2" t="s">
        <v>192</v>
      </c>
    </row>
    <row r="5" customFormat="false" ht="15" hidden="false" customHeight="false" outlineLevel="0" collapsed="false">
      <c r="A5" s="2" t="s">
        <v>48</v>
      </c>
      <c r="B5" s="2" t="s">
        <v>193</v>
      </c>
      <c r="C5" s="2" t="s">
        <v>194</v>
      </c>
      <c r="D5" s="2" t="s">
        <v>195</v>
      </c>
    </row>
    <row r="6" customFormat="false" ht="15" hidden="false" customHeight="false" outlineLevel="0" collapsed="false">
      <c r="A6" s="2" t="s">
        <v>42</v>
      </c>
      <c r="B6" s="2" t="s">
        <v>196</v>
      </c>
      <c r="C6" s="2" t="s">
        <v>197</v>
      </c>
      <c r="D6" s="2" t="s">
        <v>198</v>
      </c>
    </row>
    <row r="7" customFormat="false" ht="15" hidden="false" customHeight="false" outlineLevel="0" collapsed="false">
      <c r="A7" s="2" t="s">
        <v>35</v>
      </c>
      <c r="B7" s="2" t="s">
        <v>199</v>
      </c>
      <c r="C7" s="2" t="s">
        <v>200</v>
      </c>
      <c r="D7" s="2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2026-02-01T18:16:46Z</dcterms:created>
  <dc:creator>openpyxl</dc:creator>
  <dc:description/>
  <dc:language>en-US</dc:language>
  <cp:lastModifiedBy/>
  <dcterms:modified xsi:type="dcterms:W3CDTF">2026-02-01T18:16:46Z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